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</sheets>
  <definedNames>
    <definedName function="false" hidden="true" localSheetId="0" name="_xlnm._FilterDatabase" vbProcedure="false">'Sales Data'!$A$1:$T$201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<sst xmlns="http://schemas.openxmlformats.org/spreadsheetml/2006/main" count="2220" uniqueCount="518">
  <si>
    <t xml:space="preserve">Order ID</t>
  </si>
  <si>
    <t xml:space="preserve">Order Date</t>
  </si>
  <si>
    <t xml:space="preserve">Ship Date</t>
  </si>
  <si>
    <t xml:space="preserve">Customer ID</t>
  </si>
  <si>
    <t xml:space="preserve">Sales Rep</t>
  </si>
  <si>
    <t xml:space="preserve">Region</t>
  </si>
  <si>
    <t xml:space="preserve">Country</t>
  </si>
  <si>
    <t xml:space="preserve">Category</t>
  </si>
  <si>
    <t xml:space="preserve">Sub-Category</t>
  </si>
  <si>
    <t xml:space="preserve">Channel</t>
  </si>
  <si>
    <t xml:space="preserve">Status</t>
  </si>
  <si>
    <t xml:space="preserve">Priority</t>
  </si>
  <si>
    <t xml:space="preserve">Payment Method</t>
  </si>
  <si>
    <t xml:space="preserve">Quantity</t>
  </si>
  <si>
    <t xml:space="preserve">Unit Price ($)</t>
  </si>
  <si>
    <t xml:space="preserve">Discount (%)</t>
  </si>
  <si>
    <t xml:space="preserve">Revenue ($)</t>
  </si>
  <si>
    <t xml:space="preserve">COGS ($)</t>
  </si>
  <si>
    <t xml:space="preserve">Gross Profit ($)</t>
  </si>
  <si>
    <t xml:space="preserve">Customer Rating</t>
  </si>
  <si>
    <t xml:space="preserve">ORD-2023001</t>
  </si>
  <si>
    <t xml:space="preserve">CUST-4582</t>
  </si>
  <si>
    <t xml:space="preserve">David Kim</t>
  </si>
  <si>
    <t xml:space="preserve">North America</t>
  </si>
  <si>
    <t xml:space="preserve">USA</t>
  </si>
  <si>
    <t xml:space="preserve">Healthcare</t>
  </si>
  <si>
    <t xml:space="preserve">Diagnostics</t>
  </si>
  <si>
    <t xml:space="preserve">Online</t>
  </si>
  <si>
    <t xml:space="preserve">Completed</t>
  </si>
  <si>
    <t xml:space="preserve">Low</t>
  </si>
  <si>
    <t xml:space="preserve">Net-60</t>
  </si>
  <si>
    <t xml:space="preserve">ORD-2023002</t>
  </si>
  <si>
    <t xml:space="preserve">CUST-7924</t>
  </si>
  <si>
    <t xml:space="preserve">Leo Brown</t>
  </si>
  <si>
    <t xml:space="preserve">Middle East &amp; Africa</t>
  </si>
  <si>
    <t xml:space="preserve">UAE</t>
  </si>
  <si>
    <t xml:space="preserve">Software</t>
  </si>
  <si>
    <t xml:space="preserve">Security</t>
  </si>
  <si>
    <t xml:space="preserve">Wholesale</t>
  </si>
  <si>
    <t xml:space="preserve">Critical</t>
  </si>
  <si>
    <t xml:space="preserve">ORD-2023003</t>
  </si>
  <si>
    <t xml:space="preserve">CUST-7201</t>
  </si>
  <si>
    <t xml:space="preserve">Bob Martinez</t>
  </si>
  <si>
    <t xml:space="preserve">Europe</t>
  </si>
  <si>
    <t xml:space="preserve">France</t>
  </si>
  <si>
    <t xml:space="preserve">Automotive</t>
  </si>
  <si>
    <t xml:space="preserve">Tyres</t>
  </si>
  <si>
    <t xml:space="preserve">Direct</t>
  </si>
  <si>
    <t xml:space="preserve">High</t>
  </si>
  <si>
    <t xml:space="preserve">PayPal</t>
  </si>
  <si>
    <t xml:space="preserve">ORD-2023004</t>
  </si>
  <si>
    <t xml:space="preserve">CUST-5554</t>
  </si>
  <si>
    <t xml:space="preserve">James Okoro</t>
  </si>
  <si>
    <t xml:space="preserve">Asia-Pacific</t>
  </si>
  <si>
    <t xml:space="preserve">Singapore</t>
  </si>
  <si>
    <t xml:space="preserve">Shipped</t>
  </si>
  <si>
    <t xml:space="preserve">Bank Transfer</t>
  </si>
  <si>
    <t xml:space="preserve">ORD-2023005</t>
  </si>
  <si>
    <t xml:space="preserve">CUST-3677</t>
  </si>
  <si>
    <t xml:space="preserve">Frank Russo</t>
  </si>
  <si>
    <t xml:space="preserve">Latin America</t>
  </si>
  <si>
    <t xml:space="preserve">Colombia</t>
  </si>
  <si>
    <t xml:space="preserve">Furniture</t>
  </si>
  <si>
    <t xml:space="preserve">Sofas</t>
  </si>
  <si>
    <t xml:space="preserve">Pending</t>
  </si>
  <si>
    <t xml:space="preserve">ORD-2023006</t>
  </si>
  <si>
    <t xml:space="preserve">CUST-4456</t>
  </si>
  <si>
    <t xml:space="preserve">Chile</t>
  </si>
  <si>
    <t xml:space="preserve">Clothing</t>
  </si>
  <si>
    <t xml:space="preserve">Casual</t>
  </si>
  <si>
    <t xml:space="preserve">Partner</t>
  </si>
  <si>
    <t xml:space="preserve">ORD-2023007</t>
  </si>
  <si>
    <t xml:space="preserve">CUST-7543</t>
  </si>
  <si>
    <t xml:space="preserve">Grace Lee</t>
  </si>
  <si>
    <t xml:space="preserve">South Africa</t>
  </si>
  <si>
    <t xml:space="preserve">Cabinets</t>
  </si>
  <si>
    <t xml:space="preserve">Retail</t>
  </si>
  <si>
    <t xml:space="preserve">Medium</t>
  </si>
  <si>
    <t xml:space="preserve">ORD-2023008</t>
  </si>
  <si>
    <t xml:space="preserve">CUST-8668</t>
  </si>
  <si>
    <t xml:space="preserve">Maya Torres</t>
  </si>
  <si>
    <t xml:space="preserve">Spain</t>
  </si>
  <si>
    <t xml:space="preserve">Food &amp; Beverage</t>
  </si>
  <si>
    <t xml:space="preserve">Beverages</t>
  </si>
  <si>
    <t xml:space="preserve">Returned</t>
  </si>
  <si>
    <t xml:space="preserve">ORD-2023009</t>
  </si>
  <si>
    <t xml:space="preserve">CUST-1053</t>
  </si>
  <si>
    <t xml:space="preserve">Karen Singh</t>
  </si>
  <si>
    <t xml:space="preserve">SaaS</t>
  </si>
  <si>
    <t xml:space="preserve">ORD-2023010</t>
  </si>
  <si>
    <t xml:space="preserve">CUST-9837</t>
  </si>
  <si>
    <t xml:space="preserve">Irene Chen</t>
  </si>
  <si>
    <t xml:space="preserve">Accessories</t>
  </si>
  <si>
    <t xml:space="preserve">ORD-2023011</t>
  </si>
  <si>
    <t xml:space="preserve">CUST-2403</t>
  </si>
  <si>
    <t xml:space="preserve">Henry Walsh</t>
  </si>
  <si>
    <t xml:space="preserve">Analytics</t>
  </si>
  <si>
    <t xml:space="preserve">ORD-2023012</t>
  </si>
  <si>
    <t xml:space="preserve">CUST-9835</t>
  </si>
  <si>
    <t xml:space="preserve">Clara Nguyen</t>
  </si>
  <si>
    <t xml:space="preserve">Mexico</t>
  </si>
  <si>
    <t xml:space="preserve">Cancelled</t>
  </si>
  <si>
    <t xml:space="preserve">ORD-2023013</t>
  </si>
  <si>
    <t xml:space="preserve">CUST-4608</t>
  </si>
  <si>
    <t xml:space="preserve">UK</t>
  </si>
  <si>
    <t xml:space="preserve">Dairy</t>
  </si>
  <si>
    <t xml:space="preserve">ORD-2023014</t>
  </si>
  <si>
    <t xml:space="preserve">CUST-4981</t>
  </si>
  <si>
    <t xml:space="preserve">Nathan Bell</t>
  </si>
  <si>
    <t xml:space="preserve">Electronics</t>
  </si>
  <si>
    <t xml:space="preserve">Laptops</t>
  </si>
  <si>
    <t xml:space="preserve">ORD-2023015</t>
  </si>
  <si>
    <t xml:space="preserve">CUST-1993</t>
  </si>
  <si>
    <t xml:space="preserve">Argentina</t>
  </si>
  <si>
    <t xml:space="preserve">Net-30</t>
  </si>
  <si>
    <t xml:space="preserve">ORD-2023016</t>
  </si>
  <si>
    <t xml:space="preserve">CUST-8260</t>
  </si>
  <si>
    <t xml:space="preserve">Japan</t>
  </si>
  <si>
    <t xml:space="preserve">Desks</t>
  </si>
  <si>
    <t xml:space="preserve">ORD-2023017</t>
  </si>
  <si>
    <t xml:space="preserve">CUST-1960</t>
  </si>
  <si>
    <t xml:space="preserve">Wearables</t>
  </si>
  <si>
    <t xml:space="preserve">ORD-2023018</t>
  </si>
  <si>
    <t xml:space="preserve">CUST-6138</t>
  </si>
  <si>
    <t xml:space="preserve">Emma Patel</t>
  </si>
  <si>
    <t xml:space="preserve">Italy</t>
  </si>
  <si>
    <t xml:space="preserve">ORD-2023019</t>
  </si>
  <si>
    <t xml:space="preserve">CUST-7615</t>
  </si>
  <si>
    <t xml:space="preserve">Nigeria</t>
  </si>
  <si>
    <t xml:space="preserve">ERP</t>
  </si>
  <si>
    <t xml:space="preserve">ORD-2023020</t>
  </si>
  <si>
    <t xml:space="preserve">CUST-4346</t>
  </si>
  <si>
    <t xml:space="preserve">Shelving</t>
  </si>
  <si>
    <t xml:space="preserve">ORD-2023021</t>
  </si>
  <si>
    <t xml:space="preserve">CUST-9808</t>
  </si>
  <si>
    <t xml:space="preserve">Australia</t>
  </si>
  <si>
    <t xml:space="preserve">Formal</t>
  </si>
  <si>
    <t xml:space="preserve">Credit Card</t>
  </si>
  <si>
    <t xml:space="preserve">ORD-2023022</t>
  </si>
  <si>
    <t xml:space="preserve">CUST-5905</t>
  </si>
  <si>
    <t xml:space="preserve">Olivia Scott</t>
  </si>
  <si>
    <t xml:space="preserve">Outerwear</t>
  </si>
  <si>
    <t xml:space="preserve">ORD-2023023</t>
  </si>
  <si>
    <t xml:space="preserve">CUST-5325</t>
  </si>
  <si>
    <t xml:space="preserve">ORD-2023024</t>
  </si>
  <si>
    <t xml:space="preserve">CUST-3647</t>
  </si>
  <si>
    <t xml:space="preserve">ORD-2023025</t>
  </si>
  <si>
    <t xml:space="preserve">CUST-8041</t>
  </si>
  <si>
    <t xml:space="preserve">ORD-2023026</t>
  </si>
  <si>
    <t xml:space="preserve">CUST-3532</t>
  </si>
  <si>
    <t xml:space="preserve">Germany</t>
  </si>
  <si>
    <t xml:space="preserve">Sportswear</t>
  </si>
  <si>
    <t xml:space="preserve">ORD-2023027</t>
  </si>
  <si>
    <t xml:space="preserve">CUST-3608</t>
  </si>
  <si>
    <t xml:space="preserve">ORD-2023028</t>
  </si>
  <si>
    <t xml:space="preserve">CUST-7528</t>
  </si>
  <si>
    <t xml:space="preserve">Canada</t>
  </si>
  <si>
    <t xml:space="preserve">Parts</t>
  </si>
  <si>
    <t xml:space="preserve">ORD-2023029</t>
  </si>
  <si>
    <t xml:space="preserve">CUST-1626</t>
  </si>
  <si>
    <t xml:space="preserve">ORD-2023030</t>
  </si>
  <si>
    <t xml:space="preserve">CUST-1027</t>
  </si>
  <si>
    <t xml:space="preserve">ORD-2023031</t>
  </si>
  <si>
    <t xml:space="preserve">CUST-7592</t>
  </si>
  <si>
    <t xml:space="preserve">Saudi Arabia</t>
  </si>
  <si>
    <t xml:space="preserve">ORD-2023032</t>
  </si>
  <si>
    <t xml:space="preserve">CUST-5978</t>
  </si>
  <si>
    <t xml:space="preserve">ORD-2023033</t>
  </si>
  <si>
    <t xml:space="preserve">CUST-5649</t>
  </si>
  <si>
    <t xml:space="preserve">Frozen</t>
  </si>
  <si>
    <t xml:space="preserve">ORD-2023034</t>
  </si>
  <si>
    <t xml:space="preserve">CUST-8461</t>
  </si>
  <si>
    <t xml:space="preserve">Smartphones</t>
  </si>
  <si>
    <t xml:space="preserve">ORD-2023035</t>
  </si>
  <si>
    <t xml:space="preserve">CUST-1822</t>
  </si>
  <si>
    <t xml:space="preserve">Pharma</t>
  </si>
  <si>
    <t xml:space="preserve">ORD-2023036</t>
  </si>
  <si>
    <t xml:space="preserve">CUST-9976</t>
  </si>
  <si>
    <t xml:space="preserve">ORD-2023037</t>
  </si>
  <si>
    <t xml:space="preserve">CUST-5681</t>
  </si>
  <si>
    <t xml:space="preserve">ORD-2023038</t>
  </si>
  <si>
    <t xml:space="preserve">CUST-7797</t>
  </si>
  <si>
    <t xml:space="preserve">ORD-2023039</t>
  </si>
  <si>
    <t xml:space="preserve">CUST-7389</t>
  </si>
  <si>
    <t xml:space="preserve">ORD-2023040</t>
  </si>
  <si>
    <t xml:space="preserve">CUST-3091</t>
  </si>
  <si>
    <t xml:space="preserve">Snacks</t>
  </si>
  <si>
    <t xml:space="preserve">ORD-2023041</t>
  </si>
  <si>
    <t xml:space="preserve">CUST-4467</t>
  </si>
  <si>
    <t xml:space="preserve">ORD-2023042</t>
  </si>
  <si>
    <t xml:space="preserve">CUST-1508</t>
  </si>
  <si>
    <t xml:space="preserve">South Korea</t>
  </si>
  <si>
    <t xml:space="preserve">ORD-2023043</t>
  </si>
  <si>
    <t xml:space="preserve">CUST-3749</t>
  </si>
  <si>
    <t xml:space="preserve">ORD-2023044</t>
  </si>
  <si>
    <t xml:space="preserve">CUST-2669</t>
  </si>
  <si>
    <t xml:space="preserve">ORD-2023045</t>
  </si>
  <si>
    <t xml:space="preserve">CUST-1207</t>
  </si>
  <si>
    <t xml:space="preserve">ORD-2023046</t>
  </si>
  <si>
    <t xml:space="preserve">CUST-8616</t>
  </si>
  <si>
    <t xml:space="preserve">ORD-2023047</t>
  </si>
  <si>
    <t xml:space="preserve">CUST-1470</t>
  </si>
  <si>
    <t xml:space="preserve">Footwear</t>
  </si>
  <si>
    <t xml:space="preserve">ORD-2023048</t>
  </si>
  <si>
    <t xml:space="preserve">CUST-9004</t>
  </si>
  <si>
    <t xml:space="preserve">ORD-2023049</t>
  </si>
  <si>
    <t xml:space="preserve">CUST-8753</t>
  </si>
  <si>
    <t xml:space="preserve">ORD-2023050</t>
  </si>
  <si>
    <t xml:space="preserve">CUST-2958</t>
  </si>
  <si>
    <t xml:space="preserve">PPE</t>
  </si>
  <si>
    <t xml:space="preserve">ORD-2023051</t>
  </si>
  <si>
    <t xml:space="preserve">CUST-1231</t>
  </si>
  <si>
    <t xml:space="preserve">ORD-2023052</t>
  </si>
  <si>
    <t xml:space="preserve">CUST-8843</t>
  </si>
  <si>
    <t xml:space="preserve">ORD-2023053</t>
  </si>
  <si>
    <t xml:space="preserve">CUST-3485</t>
  </si>
  <si>
    <t xml:space="preserve">Chairs</t>
  </si>
  <si>
    <t xml:space="preserve">ORD-2023054</t>
  </si>
  <si>
    <t xml:space="preserve">CUST-6003</t>
  </si>
  <si>
    <t xml:space="preserve">ORD-2023055</t>
  </si>
  <si>
    <t xml:space="preserve">CUST-3564</t>
  </si>
  <si>
    <t xml:space="preserve">ORD-2023056</t>
  </si>
  <si>
    <t xml:space="preserve">CUST-5334</t>
  </si>
  <si>
    <t xml:space="preserve">ORD-2023057</t>
  </si>
  <si>
    <t xml:space="preserve">CUST-5728</t>
  </si>
  <si>
    <t xml:space="preserve">ORD-2023058</t>
  </si>
  <si>
    <t xml:space="preserve">CUST-6280</t>
  </si>
  <si>
    <t xml:space="preserve">Brazil</t>
  </si>
  <si>
    <t xml:space="preserve">ORD-2023059</t>
  </si>
  <si>
    <t xml:space="preserve">CUST-8708</t>
  </si>
  <si>
    <t xml:space="preserve">ORD-2023060</t>
  </si>
  <si>
    <t xml:space="preserve">CUST-2713</t>
  </si>
  <si>
    <t xml:space="preserve">ORD-2023061</t>
  </si>
  <si>
    <t xml:space="preserve">CUST-9431</t>
  </si>
  <si>
    <t xml:space="preserve">Bakery</t>
  </si>
  <si>
    <t xml:space="preserve">ORD-2023062</t>
  </si>
  <si>
    <t xml:space="preserve">CUST-5375</t>
  </si>
  <si>
    <t xml:space="preserve">ORD-2023063</t>
  </si>
  <si>
    <t xml:space="preserve">CUST-2527</t>
  </si>
  <si>
    <t xml:space="preserve">ORD-2023064</t>
  </si>
  <si>
    <t xml:space="preserve">CUST-4993</t>
  </si>
  <si>
    <t xml:space="preserve">ORD-2023065</t>
  </si>
  <si>
    <t xml:space="preserve">CUST-5634</t>
  </si>
  <si>
    <t xml:space="preserve">ORD-2023066</t>
  </si>
  <si>
    <t xml:space="preserve">CUST-6272</t>
  </si>
  <si>
    <t xml:space="preserve">CRM</t>
  </si>
  <si>
    <t xml:space="preserve">ORD-2023067</t>
  </si>
  <si>
    <t xml:space="preserve">CUST-1606</t>
  </si>
  <si>
    <t xml:space="preserve">ORD-2023068</t>
  </si>
  <si>
    <t xml:space="preserve">CUST-8692</t>
  </si>
  <si>
    <t xml:space="preserve">ORD-2023069</t>
  </si>
  <si>
    <t xml:space="preserve">CUST-2121</t>
  </si>
  <si>
    <t xml:space="preserve">India</t>
  </si>
  <si>
    <t xml:space="preserve">ORD-2023070</t>
  </si>
  <si>
    <t xml:space="preserve">CUST-6314</t>
  </si>
  <si>
    <t xml:space="preserve">ORD-2023071</t>
  </si>
  <si>
    <t xml:space="preserve">CUST-7267</t>
  </si>
  <si>
    <t xml:space="preserve">ORD-2023072</t>
  </si>
  <si>
    <t xml:space="preserve">CUST-5712</t>
  </si>
  <si>
    <t xml:space="preserve">ORD-2023073</t>
  </si>
  <si>
    <t xml:space="preserve">CUST-8916</t>
  </si>
  <si>
    <t xml:space="preserve">ORD-2023074</t>
  </si>
  <si>
    <t xml:space="preserve">CUST-9138</t>
  </si>
  <si>
    <t xml:space="preserve">ORD-2023075</t>
  </si>
  <si>
    <t xml:space="preserve">CUST-1546</t>
  </si>
  <si>
    <t xml:space="preserve">ORD-2023076</t>
  </si>
  <si>
    <t xml:space="preserve">CUST-9697</t>
  </si>
  <si>
    <t xml:space="preserve">Supplements</t>
  </si>
  <si>
    <t xml:space="preserve">ORD-2023077</t>
  </si>
  <si>
    <t xml:space="preserve">CUST-7511</t>
  </si>
  <si>
    <t xml:space="preserve">ORD-2023078</t>
  </si>
  <si>
    <t xml:space="preserve">CUST-7086</t>
  </si>
  <si>
    <t xml:space="preserve">Alice Johnson</t>
  </si>
  <si>
    <t xml:space="preserve">ORD-2023079</t>
  </si>
  <si>
    <t xml:space="preserve">CUST-7689</t>
  </si>
  <si>
    <t xml:space="preserve">ORD-2023080</t>
  </si>
  <si>
    <t xml:space="preserve">CUST-3531</t>
  </si>
  <si>
    <t xml:space="preserve">ORD-2023081</t>
  </si>
  <si>
    <t xml:space="preserve">CUST-7018</t>
  </si>
  <si>
    <t xml:space="preserve">ORD-2023082</t>
  </si>
  <si>
    <t xml:space="preserve">CUST-1828</t>
  </si>
  <si>
    <t xml:space="preserve">ORD-2023083</t>
  </si>
  <si>
    <t xml:space="preserve">CUST-1046</t>
  </si>
  <si>
    <t xml:space="preserve">ORD-2023084</t>
  </si>
  <si>
    <t xml:space="preserve">CUST-3854</t>
  </si>
  <si>
    <t xml:space="preserve">ORD-2023085</t>
  </si>
  <si>
    <t xml:space="preserve">CUST-9543</t>
  </si>
  <si>
    <t xml:space="preserve">ORD-2023086</t>
  </si>
  <si>
    <t xml:space="preserve">CUST-5505</t>
  </si>
  <si>
    <t xml:space="preserve">ORD-2023087</t>
  </si>
  <si>
    <t xml:space="preserve">CUST-8046</t>
  </si>
  <si>
    <t xml:space="preserve">ORD-2023088</t>
  </si>
  <si>
    <t xml:space="preserve">CUST-8770</t>
  </si>
  <si>
    <t xml:space="preserve">ORD-2023089</t>
  </si>
  <si>
    <t xml:space="preserve">CUST-3002</t>
  </si>
  <si>
    <t xml:space="preserve">ORD-2023090</t>
  </si>
  <si>
    <t xml:space="preserve">CUST-7022</t>
  </si>
  <si>
    <t xml:space="preserve">ORD-2023091</t>
  </si>
  <si>
    <t xml:space="preserve">CUST-5477</t>
  </si>
  <si>
    <t xml:space="preserve">ORD-2023092</t>
  </si>
  <si>
    <t xml:space="preserve">CUST-2503</t>
  </si>
  <si>
    <t xml:space="preserve">ORD-2023093</t>
  </si>
  <si>
    <t xml:space="preserve">CUST-3579</t>
  </si>
  <si>
    <t xml:space="preserve">ORD-2023094</t>
  </si>
  <si>
    <t xml:space="preserve">CUST-8043</t>
  </si>
  <si>
    <t xml:space="preserve">Tablets</t>
  </si>
  <si>
    <t xml:space="preserve">ORD-2023095</t>
  </si>
  <si>
    <t xml:space="preserve">CUST-5742</t>
  </si>
  <si>
    <t xml:space="preserve">ORD-2023096</t>
  </si>
  <si>
    <t xml:space="preserve">CUST-7505</t>
  </si>
  <si>
    <t xml:space="preserve">ORD-2023097</t>
  </si>
  <si>
    <t xml:space="preserve">CUST-7636</t>
  </si>
  <si>
    <t xml:space="preserve">ORD-2023098</t>
  </si>
  <si>
    <t xml:space="preserve">CUST-6083</t>
  </si>
  <si>
    <t xml:space="preserve">ORD-2023099</t>
  </si>
  <si>
    <t xml:space="preserve">CUST-4871</t>
  </si>
  <si>
    <t xml:space="preserve">ORD-2023100</t>
  </si>
  <si>
    <t xml:space="preserve">CUST-6295</t>
  </si>
  <si>
    <t xml:space="preserve">ORD-2023101</t>
  </si>
  <si>
    <t xml:space="preserve">CUST-8565</t>
  </si>
  <si>
    <t xml:space="preserve">ORD-2023102</t>
  </si>
  <si>
    <t xml:space="preserve">CUST-8368</t>
  </si>
  <si>
    <t xml:space="preserve">ORD-2023103</t>
  </si>
  <si>
    <t xml:space="preserve">CUST-9266</t>
  </si>
  <si>
    <t xml:space="preserve">ORD-2023104</t>
  </si>
  <si>
    <t xml:space="preserve">CUST-1857</t>
  </si>
  <si>
    <t xml:space="preserve">ORD-2023105</t>
  </si>
  <si>
    <t xml:space="preserve">CUST-6082</t>
  </si>
  <si>
    <t xml:space="preserve">ORD-2023106</t>
  </si>
  <si>
    <t xml:space="preserve">CUST-7937</t>
  </si>
  <si>
    <t xml:space="preserve">ORD-2023107</t>
  </si>
  <si>
    <t xml:space="preserve">CUST-2657</t>
  </si>
  <si>
    <t xml:space="preserve">ORD-2023108</t>
  </si>
  <si>
    <t xml:space="preserve">CUST-8170</t>
  </si>
  <si>
    <t xml:space="preserve">ORD-2023109</t>
  </si>
  <si>
    <t xml:space="preserve">CUST-8564</t>
  </si>
  <si>
    <t xml:space="preserve">ORD-2023110</t>
  </si>
  <si>
    <t xml:space="preserve">CUST-9452</t>
  </si>
  <si>
    <t xml:space="preserve">ORD-2023111</t>
  </si>
  <si>
    <t xml:space="preserve">ORD-2023112</t>
  </si>
  <si>
    <t xml:space="preserve">CUST-3392</t>
  </si>
  <si>
    <t xml:space="preserve">ORD-2023113</t>
  </si>
  <si>
    <t xml:space="preserve">CUST-3449</t>
  </si>
  <si>
    <t xml:space="preserve">ORD-2023114</t>
  </si>
  <si>
    <t xml:space="preserve">CUST-9189</t>
  </si>
  <si>
    <t xml:space="preserve">ORD-2023115</t>
  </si>
  <si>
    <t xml:space="preserve">CUST-9576</t>
  </si>
  <si>
    <t xml:space="preserve">ORD-2023116</t>
  </si>
  <si>
    <t xml:space="preserve">CUST-5155</t>
  </si>
  <si>
    <t xml:space="preserve">ORD-2023117</t>
  </si>
  <si>
    <t xml:space="preserve">CUST-3868</t>
  </si>
  <si>
    <t xml:space="preserve">ORD-2023118</t>
  </si>
  <si>
    <t xml:space="preserve">CUST-6170</t>
  </si>
  <si>
    <t xml:space="preserve">ORD-2023119</t>
  </si>
  <si>
    <t xml:space="preserve">CUST-5476</t>
  </si>
  <si>
    <t xml:space="preserve">ORD-2023120</t>
  </si>
  <si>
    <t xml:space="preserve">CUST-2353</t>
  </si>
  <si>
    <t xml:space="preserve">ORD-2023121</t>
  </si>
  <si>
    <t xml:space="preserve">CUST-3730</t>
  </si>
  <si>
    <t xml:space="preserve">ORD-2023122</t>
  </si>
  <si>
    <t xml:space="preserve">CUST-1510</t>
  </si>
  <si>
    <t xml:space="preserve">ORD-2023123</t>
  </si>
  <si>
    <t xml:space="preserve">CUST-7077</t>
  </si>
  <si>
    <t xml:space="preserve">ORD-2023124</t>
  </si>
  <si>
    <t xml:space="preserve">CUST-4048</t>
  </si>
  <si>
    <t xml:space="preserve">ORD-2023125</t>
  </si>
  <si>
    <t xml:space="preserve">CUST-3828</t>
  </si>
  <si>
    <t xml:space="preserve">ORD-2023126</t>
  </si>
  <si>
    <t xml:space="preserve">CUST-6922</t>
  </si>
  <si>
    <t xml:space="preserve">ORD-2023127</t>
  </si>
  <si>
    <t xml:space="preserve">CUST-2412</t>
  </si>
  <si>
    <t xml:space="preserve">ORD-2023128</t>
  </si>
  <si>
    <t xml:space="preserve">CUST-3102</t>
  </si>
  <si>
    <t xml:space="preserve">ORD-2023129</t>
  </si>
  <si>
    <t xml:space="preserve">CUST-4694</t>
  </si>
  <si>
    <t xml:space="preserve">ORD-2023130</t>
  </si>
  <si>
    <t xml:space="preserve">CUST-9234</t>
  </si>
  <si>
    <t xml:space="preserve">ORD-2023131</t>
  </si>
  <si>
    <t xml:space="preserve">CUST-4453</t>
  </si>
  <si>
    <t xml:space="preserve">ORD-2023132</t>
  </si>
  <si>
    <t xml:space="preserve">CUST-2195</t>
  </si>
  <si>
    <t xml:space="preserve">ORD-2023133</t>
  </si>
  <si>
    <t xml:space="preserve">CUST-7070</t>
  </si>
  <si>
    <t xml:space="preserve">ORD-2023134</t>
  </si>
  <si>
    <t xml:space="preserve">CUST-5067</t>
  </si>
  <si>
    <t xml:space="preserve">ORD-2023135</t>
  </si>
  <si>
    <t xml:space="preserve">CUST-9281</t>
  </si>
  <si>
    <t xml:space="preserve">ORD-2023136</t>
  </si>
  <si>
    <t xml:space="preserve">CUST-6992</t>
  </si>
  <si>
    <t xml:space="preserve">ORD-2023137</t>
  </si>
  <si>
    <t xml:space="preserve">CUST-2946</t>
  </si>
  <si>
    <t xml:space="preserve">ORD-2023138</t>
  </si>
  <si>
    <t xml:space="preserve">CUST-3245</t>
  </si>
  <si>
    <t xml:space="preserve">ORD-2023139</t>
  </si>
  <si>
    <t xml:space="preserve">CUST-6511</t>
  </si>
  <si>
    <t xml:space="preserve">ORD-2023140</t>
  </si>
  <si>
    <t xml:space="preserve">CUST-8775</t>
  </si>
  <si>
    <t xml:space="preserve">ORD-2023141</t>
  </si>
  <si>
    <t xml:space="preserve">CUST-3421</t>
  </si>
  <si>
    <t xml:space="preserve">ORD-2023142</t>
  </si>
  <si>
    <t xml:space="preserve">CUST-2020</t>
  </si>
  <si>
    <t xml:space="preserve">ORD-2023143</t>
  </si>
  <si>
    <t xml:space="preserve">CUST-8932</t>
  </si>
  <si>
    <t xml:space="preserve">ORD-2023144</t>
  </si>
  <si>
    <t xml:space="preserve">CUST-5715</t>
  </si>
  <si>
    <t xml:space="preserve">ORD-2023145</t>
  </si>
  <si>
    <t xml:space="preserve">CUST-5201</t>
  </si>
  <si>
    <t xml:space="preserve">ORD-2023146</t>
  </si>
  <si>
    <t xml:space="preserve">CUST-1831</t>
  </si>
  <si>
    <t xml:space="preserve">ORD-2023147</t>
  </si>
  <si>
    <t xml:space="preserve">CUST-7666</t>
  </si>
  <si>
    <t xml:space="preserve">ORD-2023148</t>
  </si>
  <si>
    <t xml:space="preserve">ORD-2023149</t>
  </si>
  <si>
    <t xml:space="preserve">CUST-5662</t>
  </si>
  <si>
    <t xml:space="preserve">Lubricants</t>
  </si>
  <si>
    <t xml:space="preserve">ORD-2023150</t>
  </si>
  <si>
    <t xml:space="preserve">CUST-1230</t>
  </si>
  <si>
    <t xml:space="preserve">ORD-2023151</t>
  </si>
  <si>
    <t xml:space="preserve">CUST-4027</t>
  </si>
  <si>
    <t xml:space="preserve">ORD-2023152</t>
  </si>
  <si>
    <t xml:space="preserve">CUST-5285</t>
  </si>
  <si>
    <t xml:space="preserve">ORD-2023153</t>
  </si>
  <si>
    <t xml:space="preserve">CUST-3188</t>
  </si>
  <si>
    <t xml:space="preserve">Devices</t>
  </si>
  <si>
    <t xml:space="preserve">ORD-2023154</t>
  </si>
  <si>
    <t xml:space="preserve">CUST-9609</t>
  </si>
  <si>
    <t xml:space="preserve">ORD-2023155</t>
  </si>
  <si>
    <t xml:space="preserve">CUST-2904</t>
  </si>
  <si>
    <t xml:space="preserve">ORD-2023156</t>
  </si>
  <si>
    <t xml:space="preserve">CUST-8575</t>
  </si>
  <si>
    <t xml:space="preserve">ORD-2023157</t>
  </si>
  <si>
    <t xml:space="preserve">CUST-2130</t>
  </si>
  <si>
    <t xml:space="preserve">ORD-2023158</t>
  </si>
  <si>
    <t xml:space="preserve">CUST-6697</t>
  </si>
  <si>
    <t xml:space="preserve">ORD-2023159</t>
  </si>
  <si>
    <t xml:space="preserve">CUST-9715</t>
  </si>
  <si>
    <t xml:space="preserve">ORD-2023160</t>
  </si>
  <si>
    <t xml:space="preserve">CUST-4943</t>
  </si>
  <si>
    <t xml:space="preserve">ORD-2023161</t>
  </si>
  <si>
    <t xml:space="preserve">CUST-3295</t>
  </si>
  <si>
    <t xml:space="preserve">ORD-2023162</t>
  </si>
  <si>
    <t xml:space="preserve">CUST-7775</t>
  </si>
  <si>
    <t xml:space="preserve">ORD-2023163</t>
  </si>
  <si>
    <t xml:space="preserve">CUST-9592</t>
  </si>
  <si>
    <t xml:space="preserve">ORD-2023164</t>
  </si>
  <si>
    <t xml:space="preserve">CUST-1944</t>
  </si>
  <si>
    <t xml:space="preserve">ORD-2023165</t>
  </si>
  <si>
    <t xml:space="preserve">CUST-1844</t>
  </si>
  <si>
    <t xml:space="preserve">ORD-2023166</t>
  </si>
  <si>
    <t xml:space="preserve">CUST-4470</t>
  </si>
  <si>
    <t xml:space="preserve">ORD-2023167</t>
  </si>
  <si>
    <t xml:space="preserve">CUST-7236</t>
  </si>
  <si>
    <t xml:space="preserve">ORD-2023168</t>
  </si>
  <si>
    <t xml:space="preserve">CUST-6126</t>
  </si>
  <si>
    <t xml:space="preserve">ORD-2023169</t>
  </si>
  <si>
    <t xml:space="preserve">CUST-9180</t>
  </si>
  <si>
    <t xml:space="preserve">ORD-2023170</t>
  </si>
  <si>
    <t xml:space="preserve">CUST-9584</t>
  </si>
  <si>
    <t xml:space="preserve">ORD-2023171</t>
  </si>
  <si>
    <t xml:space="preserve">CUST-7114</t>
  </si>
  <si>
    <t xml:space="preserve">ORD-2023172</t>
  </si>
  <si>
    <t xml:space="preserve">CUST-9673</t>
  </si>
  <si>
    <t xml:space="preserve">ORD-2023173</t>
  </si>
  <si>
    <t xml:space="preserve">CUST-6807</t>
  </si>
  <si>
    <t xml:space="preserve">ORD-2023174</t>
  </si>
  <si>
    <t xml:space="preserve">CUST-2531</t>
  </si>
  <si>
    <t xml:space="preserve">ORD-2023175</t>
  </si>
  <si>
    <t xml:space="preserve">CUST-2562</t>
  </si>
  <si>
    <t xml:space="preserve">ORD-2023176</t>
  </si>
  <si>
    <t xml:space="preserve">CUST-3938</t>
  </si>
  <si>
    <t xml:space="preserve">ORD-2023177</t>
  </si>
  <si>
    <t xml:space="preserve">CUST-9856</t>
  </si>
  <si>
    <t xml:space="preserve">ORD-2023178</t>
  </si>
  <si>
    <t xml:space="preserve">CUST-7499</t>
  </si>
  <si>
    <t xml:space="preserve">ORD-2023179</t>
  </si>
  <si>
    <t xml:space="preserve">CUST-2404</t>
  </si>
  <si>
    <t xml:space="preserve">ORD-2023180</t>
  </si>
  <si>
    <t xml:space="preserve">CUST-8286</t>
  </si>
  <si>
    <t xml:space="preserve">ORD-2023181</t>
  </si>
  <si>
    <t xml:space="preserve">CUST-7311</t>
  </si>
  <si>
    <t xml:space="preserve">ORD-2023182</t>
  </si>
  <si>
    <t xml:space="preserve">CUST-5405</t>
  </si>
  <si>
    <t xml:space="preserve">ORD-2023183</t>
  </si>
  <si>
    <t xml:space="preserve">CUST-9123</t>
  </si>
  <si>
    <t xml:space="preserve">ORD-2023184</t>
  </si>
  <si>
    <t xml:space="preserve">CUST-3230</t>
  </si>
  <si>
    <t xml:space="preserve">ORD-2023185</t>
  </si>
  <si>
    <t xml:space="preserve">CUST-6339</t>
  </si>
  <si>
    <t xml:space="preserve">ORD-2023186</t>
  </si>
  <si>
    <t xml:space="preserve">CUST-8183</t>
  </si>
  <si>
    <t xml:space="preserve">ORD-2023187</t>
  </si>
  <si>
    <t xml:space="preserve">CUST-2211</t>
  </si>
  <si>
    <t xml:space="preserve">ORD-2023188</t>
  </si>
  <si>
    <t xml:space="preserve">CUST-2791</t>
  </si>
  <si>
    <t xml:space="preserve">ORD-2023189</t>
  </si>
  <si>
    <t xml:space="preserve">CUST-4637</t>
  </si>
  <si>
    <t xml:space="preserve">ORD-2023190</t>
  </si>
  <si>
    <t xml:space="preserve">CUST-2901</t>
  </si>
  <si>
    <t xml:space="preserve">ORD-2023191</t>
  </si>
  <si>
    <t xml:space="preserve">CUST-2100</t>
  </si>
  <si>
    <t xml:space="preserve">ORD-2023192</t>
  </si>
  <si>
    <t xml:space="preserve">CUST-7985</t>
  </si>
  <si>
    <t xml:space="preserve">ORD-2023193</t>
  </si>
  <si>
    <t xml:space="preserve">CUST-8037</t>
  </si>
  <si>
    <t xml:space="preserve">ORD-2023194</t>
  </si>
  <si>
    <t xml:space="preserve">CUST-9646</t>
  </si>
  <si>
    <t xml:space="preserve">ORD-2023195</t>
  </si>
  <si>
    <t xml:space="preserve">CUST-2388</t>
  </si>
  <si>
    <t xml:space="preserve">ORD-2023196</t>
  </si>
  <si>
    <t xml:space="preserve">CUST-7931</t>
  </si>
  <si>
    <t xml:space="preserve">ORD-2023197</t>
  </si>
  <si>
    <t xml:space="preserve">CUST-3236</t>
  </si>
  <si>
    <t xml:space="preserve">ORD-2023198</t>
  </si>
  <si>
    <t xml:space="preserve">CUST-5503</t>
  </si>
  <si>
    <t xml:space="preserve">ORD-2023199</t>
  </si>
  <si>
    <t xml:space="preserve">CUST-9880</t>
  </si>
  <si>
    <t xml:space="preserve">ORD-2023200</t>
  </si>
  <si>
    <t xml:space="preserve">CUST-8193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</si>
</sst>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F4D6"/>
        <bgColor rgb="FFCCFFFF"/>
      </patternFill>
    </fill>
    <fill>
      <patternFill patternType="solid">
        <fgColor rgb="FFFFF9C4"/>
        <bgColor rgb="FFFFFF99"/>
      </patternFill>
    </fill>
    <fill>
      <patternFill patternType="solid">
        <fgColor rgb="FFF0F0F0"/>
        <bgColor rgb="FFFFFFFF"/>
      </patternFill>
    </fill>
    <fill>
      <patternFill patternType="solid">
        <fgColor rgb="FFCFE2FF"/>
        <bgColor rgb="FFD6F4D6"/>
      </patternFill>
    </fill>
    <fill>
      <patternFill patternType="solid">
        <fgColor rgb="FFFFE0E0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FE2FF"/>
          <bgColor rgb="FF000000"/>
        </patternFill>
      </fill>
    </dxf>
    <dxf>
      <fill>
        <patternFill patternType="solid">
          <fgColor rgb="FFD6F4D6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F0F0F0"/>
      <rgbColor rgb="FF660066"/>
      <rgbColor rgb="FFFF8080"/>
      <rgbColor rgb="FF0066CC"/>
      <rgbColor rgb="FFCFE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4D6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20" min="17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3" t="n">
        <v>45016</v>
      </c>
      <c r="C2" s="3" t="n">
        <v>45026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n">
        <v>109</v>
      </c>
      <c r="O2" s="4" t="n">
        <v>84.3</v>
      </c>
      <c r="P2" s="5" t="n">
        <v>0</v>
      </c>
      <c r="Q2" s="4" t="n">
        <f aca="false">N2*O2*(1-P2)</f>
        <v>9188.7</v>
      </c>
      <c r="R2" s="4" t="n">
        <f aca="false">Q2*0.5735</f>
        <v>5269.71945</v>
      </c>
      <c r="S2" s="4" t="n">
        <f aca="false">Q2-R2</f>
        <v>3918.98055</v>
      </c>
      <c r="T2" s="2" t="n">
        <v>1.9</v>
      </c>
    </row>
    <row r="3" customFormat="false" ht="15" hidden="false" customHeight="false" outlineLevel="0" collapsed="false">
      <c r="A3" s="6" t="s">
        <v>31</v>
      </c>
      <c r="B3" s="7" t="n">
        <v>45211</v>
      </c>
      <c r="C3" s="7" t="n">
        <v>45224</v>
      </c>
      <c r="D3" s="6" t="s">
        <v>32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38</v>
      </c>
      <c r="K3" s="6" t="s">
        <v>28</v>
      </c>
      <c r="L3" s="6" t="s">
        <v>39</v>
      </c>
      <c r="M3" s="6" t="s">
        <v>30</v>
      </c>
      <c r="N3" s="6" t="n">
        <v>2</v>
      </c>
      <c r="O3" s="8" t="n">
        <v>1898.22</v>
      </c>
      <c r="P3" s="9" t="n">
        <v>0</v>
      </c>
      <c r="Q3" s="8" t="n">
        <f aca="false">N3*O3*(1-P3)</f>
        <v>3796.44</v>
      </c>
      <c r="R3" s="8" t="n">
        <f aca="false">Q3*0.7124</f>
        <v>2704.583856</v>
      </c>
      <c r="S3" s="8" t="n">
        <f aca="false">Q3-R3</f>
        <v>1091.856144</v>
      </c>
      <c r="T3" s="6" t="n">
        <v>2.4</v>
      </c>
    </row>
    <row r="4" customFormat="false" ht="15" hidden="false" customHeight="false" outlineLevel="0" collapsed="false">
      <c r="A4" s="2" t="s">
        <v>40</v>
      </c>
      <c r="B4" s="3" t="n">
        <v>45545</v>
      </c>
      <c r="C4" s="3" t="n">
        <v>45550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28</v>
      </c>
      <c r="L4" s="2" t="s">
        <v>48</v>
      </c>
      <c r="M4" s="2" t="s">
        <v>49</v>
      </c>
      <c r="N4" s="2" t="n">
        <v>12</v>
      </c>
      <c r="O4" s="4" t="n">
        <v>1825.68</v>
      </c>
      <c r="P4" s="5" t="n">
        <v>0</v>
      </c>
      <c r="Q4" s="4" t="n">
        <f aca="false">N4*O4*(1-P4)</f>
        <v>21908.16</v>
      </c>
      <c r="R4" s="4" t="n">
        <f aca="false">Q4*0.592</f>
        <v>12969.63072</v>
      </c>
      <c r="S4" s="4" t="n">
        <f aca="false">Q4-R4</f>
        <v>8938.52928</v>
      </c>
      <c r="T4" s="2" t="n">
        <v>1.3</v>
      </c>
    </row>
    <row r="5" customFormat="false" ht="15" hidden="false" customHeight="false" outlineLevel="0" collapsed="false">
      <c r="A5" s="6" t="s">
        <v>50</v>
      </c>
      <c r="B5" s="7" t="n">
        <v>45223</v>
      </c>
      <c r="C5" s="7" t="n">
        <v>45225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45</v>
      </c>
      <c r="I5" s="6" t="s">
        <v>46</v>
      </c>
      <c r="J5" s="6" t="s">
        <v>27</v>
      </c>
      <c r="K5" s="6" t="s">
        <v>55</v>
      </c>
      <c r="L5" s="6" t="s">
        <v>29</v>
      </c>
      <c r="M5" s="6" t="s">
        <v>56</v>
      </c>
      <c r="N5" s="6" t="n">
        <v>60</v>
      </c>
      <c r="O5" s="8" t="n">
        <v>2166.88</v>
      </c>
      <c r="P5" s="9" t="n">
        <v>0.2</v>
      </c>
      <c r="Q5" s="8" t="n">
        <f aca="false">N5*O5*(1-P5)</f>
        <v>104010.24</v>
      </c>
      <c r="R5" s="8" t="n">
        <f aca="false">Q5*0.6975</f>
        <v>72547.1424</v>
      </c>
      <c r="S5" s="8" t="n">
        <f aca="false">Q5-R5</f>
        <v>31463.0976</v>
      </c>
      <c r="T5" s="6"/>
    </row>
    <row r="6" customFormat="false" ht="15" hidden="false" customHeight="false" outlineLevel="0" collapsed="false">
      <c r="A6" s="10" t="s">
        <v>57</v>
      </c>
      <c r="B6" s="11" t="n">
        <v>45577</v>
      </c>
      <c r="C6" s="10"/>
      <c r="D6" s="10" t="s">
        <v>58</v>
      </c>
      <c r="E6" s="10" t="s">
        <v>59</v>
      </c>
      <c r="F6" s="10" t="s">
        <v>60</v>
      </c>
      <c r="G6" s="10" t="s">
        <v>61</v>
      </c>
      <c r="H6" s="10" t="s">
        <v>62</v>
      </c>
      <c r="I6" s="10" t="s">
        <v>63</v>
      </c>
      <c r="J6" s="10" t="s">
        <v>27</v>
      </c>
      <c r="K6" s="10" t="s">
        <v>64</v>
      </c>
      <c r="L6" s="10" t="s">
        <v>29</v>
      </c>
      <c r="M6" s="10" t="s">
        <v>30</v>
      </c>
      <c r="N6" s="10" t="n">
        <v>44</v>
      </c>
      <c r="O6" s="12" t="n">
        <v>1337.68</v>
      </c>
      <c r="P6" s="13" t="n">
        <v>0.05</v>
      </c>
      <c r="Q6" s="12" t="n">
        <f aca="false">N6*O6*(1-P6)</f>
        <v>55915.024</v>
      </c>
      <c r="R6" s="12" t="n">
        <f aca="false">Q6*0.6878</f>
        <v>38458.3535072</v>
      </c>
      <c r="S6" s="12" t="n">
        <f aca="false">Q6-R6</f>
        <v>17456.6704928</v>
      </c>
      <c r="T6" s="10"/>
    </row>
    <row r="7" customFormat="false" ht="15" hidden="false" customHeight="false" outlineLevel="0" collapsed="false">
      <c r="A7" s="6" t="s">
        <v>65</v>
      </c>
      <c r="B7" s="7" t="n">
        <v>44959</v>
      </c>
      <c r="C7" s="7" t="n">
        <v>44972</v>
      </c>
      <c r="D7" s="6" t="s">
        <v>66</v>
      </c>
      <c r="E7" s="6" t="s">
        <v>22</v>
      </c>
      <c r="F7" s="6" t="s">
        <v>60</v>
      </c>
      <c r="G7" s="6" t="s">
        <v>67</v>
      </c>
      <c r="H7" s="6" t="s">
        <v>68</v>
      </c>
      <c r="I7" s="6" t="s">
        <v>69</v>
      </c>
      <c r="J7" s="6" t="s">
        <v>70</v>
      </c>
      <c r="K7" s="6" t="s">
        <v>55</v>
      </c>
      <c r="L7" s="6" t="s">
        <v>29</v>
      </c>
      <c r="M7" s="6" t="s">
        <v>56</v>
      </c>
      <c r="N7" s="6" t="n">
        <v>81</v>
      </c>
      <c r="O7" s="8" t="n">
        <v>1005.91</v>
      </c>
      <c r="P7" s="9" t="n">
        <v>0</v>
      </c>
      <c r="Q7" s="8" t="n">
        <f aca="false">N7*O7*(1-P7)</f>
        <v>81478.71</v>
      </c>
      <c r="R7" s="8" t="n">
        <f aca="false">Q7*0.7222</f>
        <v>58843.924362</v>
      </c>
      <c r="S7" s="8" t="n">
        <f aca="false">Q7-R7</f>
        <v>22634.785638</v>
      </c>
      <c r="T7" s="6"/>
    </row>
    <row r="8" customFormat="false" ht="15" hidden="false" customHeight="false" outlineLevel="0" collapsed="false">
      <c r="A8" s="2" t="s">
        <v>71</v>
      </c>
      <c r="B8" s="3" t="n">
        <v>45501</v>
      </c>
      <c r="C8" s="3" t="n">
        <v>45510</v>
      </c>
      <c r="D8" s="2" t="s">
        <v>72</v>
      </c>
      <c r="E8" s="2" t="s">
        <v>73</v>
      </c>
      <c r="F8" s="2" t="s">
        <v>34</v>
      </c>
      <c r="G8" s="2" t="s">
        <v>74</v>
      </c>
      <c r="H8" s="2" t="s">
        <v>62</v>
      </c>
      <c r="I8" s="2" t="s">
        <v>75</v>
      </c>
      <c r="J8" s="2" t="s">
        <v>76</v>
      </c>
      <c r="K8" s="2" t="s">
        <v>28</v>
      </c>
      <c r="L8" s="2" t="s">
        <v>77</v>
      </c>
      <c r="M8" s="2" t="s">
        <v>56</v>
      </c>
      <c r="N8" s="2" t="n">
        <v>68</v>
      </c>
      <c r="O8" s="4" t="n">
        <v>1868.8</v>
      </c>
      <c r="P8" s="5" t="n">
        <v>0.2</v>
      </c>
      <c r="Q8" s="4" t="n">
        <f aca="false">N8*O8*(1-P8)</f>
        <v>101662.72</v>
      </c>
      <c r="R8" s="4" t="n">
        <f aca="false">Q8*0.6721</f>
        <v>68327.514112</v>
      </c>
      <c r="S8" s="4" t="n">
        <f aca="false">Q8-R8</f>
        <v>33335.205888</v>
      </c>
      <c r="T8" s="2" t="n">
        <v>2.4</v>
      </c>
    </row>
    <row r="9" customFormat="false" ht="15" hidden="false" customHeight="false" outlineLevel="0" collapsed="false">
      <c r="A9" s="6" t="s">
        <v>78</v>
      </c>
      <c r="B9" s="7" t="n">
        <v>45623</v>
      </c>
      <c r="C9" s="7" t="n">
        <v>45630</v>
      </c>
      <c r="D9" s="6" t="s">
        <v>79</v>
      </c>
      <c r="E9" s="6" t="s">
        <v>80</v>
      </c>
      <c r="F9" s="6" t="s">
        <v>43</v>
      </c>
      <c r="G9" s="6" t="s">
        <v>81</v>
      </c>
      <c r="H9" s="6" t="s">
        <v>82</v>
      </c>
      <c r="I9" s="6" t="s">
        <v>83</v>
      </c>
      <c r="J9" s="6" t="s">
        <v>47</v>
      </c>
      <c r="K9" s="6" t="s">
        <v>84</v>
      </c>
      <c r="L9" s="6" t="s">
        <v>77</v>
      </c>
      <c r="M9" s="6" t="s">
        <v>56</v>
      </c>
      <c r="N9" s="6" t="n">
        <v>153</v>
      </c>
      <c r="O9" s="8" t="n">
        <v>163.5</v>
      </c>
      <c r="P9" s="9" t="n">
        <v>0.2</v>
      </c>
      <c r="Q9" s="8" t="n">
        <f aca="false">N9*O9*(1-P9)</f>
        <v>20012.4</v>
      </c>
      <c r="R9" s="8" t="n">
        <f aca="false">Q9*0.6356</f>
        <v>12719.88144</v>
      </c>
      <c r="S9" s="8" t="n">
        <f aca="false">Q9-R9</f>
        <v>7292.51856</v>
      </c>
      <c r="T9" s="6"/>
    </row>
    <row r="10" customFormat="false" ht="15" hidden="false" customHeight="false" outlineLevel="0" collapsed="false">
      <c r="A10" s="10" t="s">
        <v>85</v>
      </c>
      <c r="B10" s="11" t="n">
        <v>45041</v>
      </c>
      <c r="C10" s="10"/>
      <c r="D10" s="10" t="s">
        <v>86</v>
      </c>
      <c r="E10" s="10" t="s">
        <v>87</v>
      </c>
      <c r="F10" s="10" t="s">
        <v>34</v>
      </c>
      <c r="G10" s="10" t="s">
        <v>74</v>
      </c>
      <c r="H10" s="10" t="s">
        <v>36</v>
      </c>
      <c r="I10" s="10" t="s">
        <v>88</v>
      </c>
      <c r="J10" s="10" t="s">
        <v>47</v>
      </c>
      <c r="K10" s="10" t="s">
        <v>64</v>
      </c>
      <c r="L10" s="10" t="s">
        <v>48</v>
      </c>
      <c r="M10" s="10" t="s">
        <v>49</v>
      </c>
      <c r="N10" s="10" t="n">
        <v>76</v>
      </c>
      <c r="O10" s="12" t="n">
        <v>1089.74</v>
      </c>
      <c r="P10" s="13" t="n">
        <v>0.25</v>
      </c>
      <c r="Q10" s="12" t="n">
        <f aca="false">N10*O10*(1-P10)</f>
        <v>62115.18</v>
      </c>
      <c r="R10" s="12" t="n">
        <f aca="false">Q10*0.6732</f>
        <v>41815.939176</v>
      </c>
      <c r="S10" s="12" t="n">
        <f aca="false">Q10-R10</f>
        <v>20299.240824</v>
      </c>
      <c r="T10" s="10"/>
    </row>
    <row r="11" customFormat="false" ht="15" hidden="false" customHeight="false" outlineLevel="0" collapsed="false">
      <c r="A11" s="6" t="s">
        <v>89</v>
      </c>
      <c r="B11" s="7" t="n">
        <v>45550</v>
      </c>
      <c r="C11" s="7" t="n">
        <v>45554</v>
      </c>
      <c r="D11" s="6" t="s">
        <v>90</v>
      </c>
      <c r="E11" s="6" t="s">
        <v>91</v>
      </c>
      <c r="F11" s="6" t="s">
        <v>53</v>
      </c>
      <c r="G11" s="6" t="s">
        <v>54</v>
      </c>
      <c r="H11" s="6" t="s">
        <v>45</v>
      </c>
      <c r="I11" s="6" t="s">
        <v>92</v>
      </c>
      <c r="J11" s="6" t="s">
        <v>47</v>
      </c>
      <c r="K11" s="6" t="s">
        <v>84</v>
      </c>
      <c r="L11" s="6" t="s">
        <v>48</v>
      </c>
      <c r="M11" s="6" t="s">
        <v>30</v>
      </c>
      <c r="N11" s="6" t="n">
        <v>40</v>
      </c>
      <c r="O11" s="8" t="n">
        <v>937.92</v>
      </c>
      <c r="P11" s="9" t="n">
        <v>0</v>
      </c>
      <c r="Q11" s="8" t="n">
        <f aca="false">N11*O11*(1-P11)</f>
        <v>37516.8</v>
      </c>
      <c r="R11" s="8" t="n">
        <f aca="false">Q11*0.707</f>
        <v>26524.3776</v>
      </c>
      <c r="S11" s="8" t="n">
        <f aca="false">Q11-R11</f>
        <v>10992.4224</v>
      </c>
      <c r="T11" s="6"/>
    </row>
    <row r="12" customFormat="false" ht="15" hidden="false" customHeight="false" outlineLevel="0" collapsed="false">
      <c r="A12" s="2" t="s">
        <v>93</v>
      </c>
      <c r="B12" s="3" t="n">
        <v>45172</v>
      </c>
      <c r="C12" s="3" t="n">
        <v>45173</v>
      </c>
      <c r="D12" s="2" t="s">
        <v>94</v>
      </c>
      <c r="E12" s="2" t="s">
        <v>95</v>
      </c>
      <c r="F12" s="2" t="s">
        <v>34</v>
      </c>
      <c r="G12" s="2" t="s">
        <v>35</v>
      </c>
      <c r="H12" s="2" t="s">
        <v>36</v>
      </c>
      <c r="I12" s="2" t="s">
        <v>96</v>
      </c>
      <c r="J12" s="2" t="s">
        <v>47</v>
      </c>
      <c r="K12" s="2" t="s">
        <v>28</v>
      </c>
      <c r="L12" s="2" t="s">
        <v>48</v>
      </c>
      <c r="M12" s="2" t="s">
        <v>49</v>
      </c>
      <c r="N12" s="2" t="n">
        <v>62</v>
      </c>
      <c r="O12" s="4" t="n">
        <v>2195.63</v>
      </c>
      <c r="P12" s="5" t="n">
        <v>0</v>
      </c>
      <c r="Q12" s="4" t="n">
        <f aca="false">N12*O12*(1-P12)</f>
        <v>136129.06</v>
      </c>
      <c r="R12" s="4" t="n">
        <f aca="false">Q12*0.7127</f>
        <v>97019.181062</v>
      </c>
      <c r="S12" s="4" t="n">
        <f aca="false">Q12-R12</f>
        <v>39109.878938</v>
      </c>
      <c r="T12" s="2" t="n">
        <v>3.9</v>
      </c>
    </row>
    <row r="13" customFormat="false" ht="15" hidden="false" customHeight="false" outlineLevel="0" collapsed="false">
      <c r="A13" s="6" t="s">
        <v>97</v>
      </c>
      <c r="B13" s="7" t="n">
        <v>45467</v>
      </c>
      <c r="C13" s="6"/>
      <c r="D13" s="6" t="s">
        <v>98</v>
      </c>
      <c r="E13" s="6" t="s">
        <v>99</v>
      </c>
      <c r="F13" s="6" t="s">
        <v>23</v>
      </c>
      <c r="G13" s="6" t="s">
        <v>100</v>
      </c>
      <c r="H13" s="6" t="s">
        <v>45</v>
      </c>
      <c r="I13" s="6" t="s">
        <v>92</v>
      </c>
      <c r="J13" s="6" t="s">
        <v>76</v>
      </c>
      <c r="K13" s="6" t="s">
        <v>101</v>
      </c>
      <c r="L13" s="6" t="s">
        <v>77</v>
      </c>
      <c r="M13" s="6" t="s">
        <v>49</v>
      </c>
      <c r="N13" s="6" t="n">
        <v>156</v>
      </c>
      <c r="O13" s="8" t="n">
        <v>1060.73</v>
      </c>
      <c r="P13" s="9" t="n">
        <v>0.05</v>
      </c>
      <c r="Q13" s="8" t="n">
        <f aca="false">N13*O13*(1-P13)</f>
        <v>157200.186</v>
      </c>
      <c r="R13" s="8" t="n">
        <f aca="false">Q13*0.7111</f>
        <v>111785.0522646</v>
      </c>
      <c r="S13" s="8" t="n">
        <f aca="false">Q13-R13</f>
        <v>45415.1337354</v>
      </c>
      <c r="T13" s="6"/>
    </row>
    <row r="14" customFormat="false" ht="15" hidden="false" customHeight="false" outlineLevel="0" collapsed="false">
      <c r="A14" s="2" t="s">
        <v>102</v>
      </c>
      <c r="B14" s="3" t="n">
        <v>44992</v>
      </c>
      <c r="C14" s="3" t="n">
        <v>44998</v>
      </c>
      <c r="D14" s="2" t="s">
        <v>103</v>
      </c>
      <c r="E14" s="2" t="s">
        <v>95</v>
      </c>
      <c r="F14" s="2" t="s">
        <v>43</v>
      </c>
      <c r="G14" s="2" t="s">
        <v>104</v>
      </c>
      <c r="H14" s="2" t="s">
        <v>82</v>
      </c>
      <c r="I14" s="2" t="s">
        <v>105</v>
      </c>
      <c r="J14" s="2" t="s">
        <v>38</v>
      </c>
      <c r="K14" s="2" t="s">
        <v>28</v>
      </c>
      <c r="L14" s="2" t="s">
        <v>77</v>
      </c>
      <c r="M14" s="2" t="s">
        <v>56</v>
      </c>
      <c r="N14" s="2" t="n">
        <v>6</v>
      </c>
      <c r="O14" s="4" t="n">
        <v>1472.83</v>
      </c>
      <c r="P14" s="5" t="n">
        <v>0.05</v>
      </c>
      <c r="Q14" s="4" t="n">
        <f aca="false">N14*O14*(1-P14)</f>
        <v>8395.131</v>
      </c>
      <c r="R14" s="4" t="n">
        <f aca="false">Q14*0.664</f>
        <v>5574.366984</v>
      </c>
      <c r="S14" s="4" t="n">
        <f aca="false">Q14-R14</f>
        <v>2820.764016</v>
      </c>
      <c r="T14" s="2" t="n">
        <v>1</v>
      </c>
    </row>
    <row r="15" customFormat="false" ht="15" hidden="false" customHeight="false" outlineLevel="0" collapsed="false">
      <c r="A15" s="6" t="s">
        <v>106</v>
      </c>
      <c r="B15" s="7" t="n">
        <v>45612</v>
      </c>
      <c r="C15" s="7" t="n">
        <v>45620</v>
      </c>
      <c r="D15" s="6" t="s">
        <v>107</v>
      </c>
      <c r="E15" s="6" t="s">
        <v>108</v>
      </c>
      <c r="F15" s="6" t="s">
        <v>23</v>
      </c>
      <c r="G15" s="6" t="s">
        <v>24</v>
      </c>
      <c r="H15" s="6" t="s">
        <v>109</v>
      </c>
      <c r="I15" s="6" t="s">
        <v>110</v>
      </c>
      <c r="J15" s="6" t="s">
        <v>70</v>
      </c>
      <c r="K15" s="6" t="s">
        <v>28</v>
      </c>
      <c r="L15" s="6" t="s">
        <v>77</v>
      </c>
      <c r="M15" s="6" t="s">
        <v>49</v>
      </c>
      <c r="N15" s="6" t="n">
        <v>55</v>
      </c>
      <c r="O15" s="8" t="n">
        <v>1350.39</v>
      </c>
      <c r="P15" s="9" t="n">
        <v>0.25</v>
      </c>
      <c r="Q15" s="8" t="n">
        <f aca="false">N15*O15*(1-P15)</f>
        <v>55703.5875</v>
      </c>
      <c r="R15" s="8" t="n">
        <f aca="false">Q15*0.6565</f>
        <v>36569.40519375</v>
      </c>
      <c r="S15" s="8" t="n">
        <f aca="false">Q15-R15</f>
        <v>19134.18230625</v>
      </c>
      <c r="T15" s="6" t="n">
        <v>4.1</v>
      </c>
    </row>
    <row r="16" customFormat="false" ht="15" hidden="false" customHeight="false" outlineLevel="0" collapsed="false">
      <c r="A16" s="2" t="s">
        <v>111</v>
      </c>
      <c r="B16" s="3" t="n">
        <v>44982</v>
      </c>
      <c r="C16" s="3" t="n">
        <v>44993</v>
      </c>
      <c r="D16" s="2" t="s">
        <v>112</v>
      </c>
      <c r="E16" s="2" t="s">
        <v>87</v>
      </c>
      <c r="F16" s="2" t="s">
        <v>60</v>
      </c>
      <c r="G16" s="2" t="s">
        <v>113</v>
      </c>
      <c r="H16" s="2" t="s">
        <v>109</v>
      </c>
      <c r="I16" s="2" t="s">
        <v>110</v>
      </c>
      <c r="J16" s="2" t="s">
        <v>76</v>
      </c>
      <c r="K16" s="2" t="s">
        <v>28</v>
      </c>
      <c r="L16" s="2" t="s">
        <v>39</v>
      </c>
      <c r="M16" s="2" t="s">
        <v>114</v>
      </c>
      <c r="N16" s="2" t="n">
        <v>168</v>
      </c>
      <c r="O16" s="4" t="n">
        <v>2460.49</v>
      </c>
      <c r="P16" s="5" t="n">
        <v>0</v>
      </c>
      <c r="Q16" s="4" t="n">
        <f aca="false">N16*O16*(1-P16)</f>
        <v>413362.32</v>
      </c>
      <c r="R16" s="4" t="n">
        <f aca="false">Q16*0.6694</f>
        <v>276704.737008</v>
      </c>
      <c r="S16" s="4" t="n">
        <f aca="false">Q16-R16</f>
        <v>136657.582992</v>
      </c>
      <c r="T16" s="2" t="n">
        <v>2.6</v>
      </c>
    </row>
    <row r="17" customFormat="false" ht="15" hidden="false" customHeight="false" outlineLevel="0" collapsed="false">
      <c r="A17" s="6" t="s">
        <v>115</v>
      </c>
      <c r="B17" s="7" t="n">
        <v>45212</v>
      </c>
      <c r="C17" s="7" t="n">
        <v>45220</v>
      </c>
      <c r="D17" s="6" t="s">
        <v>116</v>
      </c>
      <c r="E17" s="6" t="s">
        <v>22</v>
      </c>
      <c r="F17" s="6" t="s">
        <v>53</v>
      </c>
      <c r="G17" s="6" t="s">
        <v>117</v>
      </c>
      <c r="H17" s="6" t="s">
        <v>62</v>
      </c>
      <c r="I17" s="6" t="s">
        <v>118</v>
      </c>
      <c r="J17" s="6" t="s">
        <v>38</v>
      </c>
      <c r="K17" s="6" t="s">
        <v>28</v>
      </c>
      <c r="L17" s="6" t="s">
        <v>39</v>
      </c>
      <c r="M17" s="6" t="s">
        <v>56</v>
      </c>
      <c r="N17" s="6" t="n">
        <v>64</v>
      </c>
      <c r="O17" s="8" t="n">
        <v>2186.84</v>
      </c>
      <c r="P17" s="9" t="n">
        <v>0</v>
      </c>
      <c r="Q17" s="8" t="n">
        <f aca="false">N17*O17*(1-P17)</f>
        <v>139957.76</v>
      </c>
      <c r="R17" s="8" t="n">
        <f aca="false">Q17*0.5837</f>
        <v>81693.344512</v>
      </c>
      <c r="S17" s="8" t="n">
        <f aca="false">Q17-R17</f>
        <v>58264.415488</v>
      </c>
      <c r="T17" s="6" t="n">
        <v>4.2</v>
      </c>
    </row>
    <row r="18" customFormat="false" ht="15" hidden="false" customHeight="false" outlineLevel="0" collapsed="false">
      <c r="A18" s="14" t="s">
        <v>119</v>
      </c>
      <c r="B18" s="15" t="n">
        <v>45343</v>
      </c>
      <c r="C18" s="14"/>
      <c r="D18" s="14" t="s">
        <v>120</v>
      </c>
      <c r="E18" s="14" t="s">
        <v>108</v>
      </c>
      <c r="F18" s="14" t="s">
        <v>34</v>
      </c>
      <c r="G18" s="14" t="s">
        <v>35</v>
      </c>
      <c r="H18" s="14" t="s">
        <v>109</v>
      </c>
      <c r="I18" s="14" t="s">
        <v>121</v>
      </c>
      <c r="J18" s="14" t="s">
        <v>47</v>
      </c>
      <c r="K18" s="14" t="s">
        <v>101</v>
      </c>
      <c r="L18" s="14" t="s">
        <v>77</v>
      </c>
      <c r="M18" s="14" t="s">
        <v>56</v>
      </c>
      <c r="N18" s="14" t="n">
        <v>125</v>
      </c>
      <c r="O18" s="16" t="n">
        <v>1205.99</v>
      </c>
      <c r="P18" s="17" t="n">
        <v>0.2</v>
      </c>
      <c r="Q18" s="16" t="n">
        <f aca="false">N18*O18*(1-P18)</f>
        <v>120599</v>
      </c>
      <c r="R18" s="16" t="n">
        <f aca="false">Q18*0.7458</f>
        <v>89942.7342</v>
      </c>
      <c r="S18" s="16" t="n">
        <f aca="false">Q18-R18</f>
        <v>30656.2658</v>
      </c>
      <c r="T18" s="14"/>
    </row>
    <row r="19" customFormat="false" ht="15" hidden="false" customHeight="false" outlineLevel="0" collapsed="false">
      <c r="A19" s="6" t="s">
        <v>122</v>
      </c>
      <c r="B19" s="7" t="n">
        <v>45121</v>
      </c>
      <c r="C19" s="7" t="n">
        <v>45126</v>
      </c>
      <c r="D19" s="6" t="s">
        <v>123</v>
      </c>
      <c r="E19" s="6" t="s">
        <v>124</v>
      </c>
      <c r="F19" s="6" t="s">
        <v>43</v>
      </c>
      <c r="G19" s="6" t="s">
        <v>125</v>
      </c>
      <c r="H19" s="6" t="s">
        <v>109</v>
      </c>
      <c r="I19" s="6" t="s">
        <v>92</v>
      </c>
      <c r="J19" s="6" t="s">
        <v>76</v>
      </c>
      <c r="K19" s="6" t="s">
        <v>28</v>
      </c>
      <c r="L19" s="6" t="s">
        <v>39</v>
      </c>
      <c r="M19" s="6" t="s">
        <v>56</v>
      </c>
      <c r="N19" s="6" t="n">
        <v>56</v>
      </c>
      <c r="O19" s="8" t="n">
        <v>2421.93</v>
      </c>
      <c r="P19" s="9" t="n">
        <v>0</v>
      </c>
      <c r="Q19" s="8" t="n">
        <f aca="false">N19*O19*(1-P19)</f>
        <v>135628.08</v>
      </c>
      <c r="R19" s="8" t="n">
        <f aca="false">Q19*0.6085</f>
        <v>82529.68668</v>
      </c>
      <c r="S19" s="8" t="n">
        <f aca="false">Q19-R19</f>
        <v>53098.39332</v>
      </c>
      <c r="T19" s="6" t="n">
        <v>1.2</v>
      </c>
    </row>
    <row r="20" customFormat="false" ht="15" hidden="false" customHeight="false" outlineLevel="0" collapsed="false">
      <c r="A20" s="14" t="s">
        <v>126</v>
      </c>
      <c r="B20" s="15" t="n">
        <v>44997</v>
      </c>
      <c r="C20" s="14"/>
      <c r="D20" s="14" t="s">
        <v>127</v>
      </c>
      <c r="E20" s="14" t="s">
        <v>99</v>
      </c>
      <c r="F20" s="14" t="s">
        <v>34</v>
      </c>
      <c r="G20" s="14" t="s">
        <v>128</v>
      </c>
      <c r="H20" s="14" t="s">
        <v>36</v>
      </c>
      <c r="I20" s="14" t="s">
        <v>129</v>
      </c>
      <c r="J20" s="14" t="s">
        <v>47</v>
      </c>
      <c r="K20" s="14" t="s">
        <v>101</v>
      </c>
      <c r="L20" s="14" t="s">
        <v>29</v>
      </c>
      <c r="M20" s="14" t="s">
        <v>56</v>
      </c>
      <c r="N20" s="14" t="n">
        <v>153</v>
      </c>
      <c r="O20" s="16" t="n">
        <v>174.56</v>
      </c>
      <c r="P20" s="17" t="n">
        <v>0.05</v>
      </c>
      <c r="Q20" s="16" t="n">
        <f aca="false">N20*O20*(1-P20)</f>
        <v>25372.296</v>
      </c>
      <c r="R20" s="16" t="n">
        <f aca="false">Q20*0.6645</f>
        <v>16859.890692</v>
      </c>
      <c r="S20" s="16" t="n">
        <f aca="false">Q20-R20</f>
        <v>8512.405308</v>
      </c>
      <c r="T20" s="14"/>
    </row>
    <row r="21" customFormat="false" ht="15" hidden="false" customHeight="false" outlineLevel="0" collapsed="false">
      <c r="A21" s="6" t="s">
        <v>130</v>
      </c>
      <c r="B21" s="7" t="n">
        <v>45505</v>
      </c>
      <c r="C21" s="6"/>
      <c r="D21" s="6" t="s">
        <v>131</v>
      </c>
      <c r="E21" s="6" t="s">
        <v>52</v>
      </c>
      <c r="F21" s="6" t="s">
        <v>23</v>
      </c>
      <c r="G21" s="6" t="s">
        <v>100</v>
      </c>
      <c r="H21" s="6" t="s">
        <v>62</v>
      </c>
      <c r="I21" s="6" t="s">
        <v>132</v>
      </c>
      <c r="J21" s="6" t="s">
        <v>47</v>
      </c>
      <c r="K21" s="6" t="s">
        <v>64</v>
      </c>
      <c r="L21" s="6" t="s">
        <v>39</v>
      </c>
      <c r="M21" s="6" t="s">
        <v>30</v>
      </c>
      <c r="N21" s="6" t="n">
        <v>134</v>
      </c>
      <c r="O21" s="8" t="n">
        <v>794.34</v>
      </c>
      <c r="P21" s="9" t="n">
        <v>0.1</v>
      </c>
      <c r="Q21" s="8" t="n">
        <f aca="false">N21*O21*(1-P21)</f>
        <v>95797.404</v>
      </c>
      <c r="R21" s="8" t="n">
        <f aca="false">Q21*0.7405</f>
        <v>70937.977662</v>
      </c>
      <c r="S21" s="8" t="n">
        <f aca="false">Q21-R21</f>
        <v>24859.426338</v>
      </c>
      <c r="T21" s="6"/>
    </row>
    <row r="22" customFormat="false" ht="15" hidden="false" customHeight="false" outlineLevel="0" collapsed="false">
      <c r="A22" s="2" t="s">
        <v>133</v>
      </c>
      <c r="B22" s="3" t="n">
        <v>45396</v>
      </c>
      <c r="C22" s="3" t="n">
        <v>45406</v>
      </c>
      <c r="D22" s="2" t="s">
        <v>134</v>
      </c>
      <c r="E22" s="2" t="s">
        <v>99</v>
      </c>
      <c r="F22" s="2" t="s">
        <v>53</v>
      </c>
      <c r="G22" s="2" t="s">
        <v>135</v>
      </c>
      <c r="H22" s="2" t="s">
        <v>68</v>
      </c>
      <c r="I22" s="2" t="s">
        <v>136</v>
      </c>
      <c r="J22" s="2" t="s">
        <v>70</v>
      </c>
      <c r="K22" s="2" t="s">
        <v>28</v>
      </c>
      <c r="L22" s="2" t="s">
        <v>29</v>
      </c>
      <c r="M22" s="2" t="s">
        <v>137</v>
      </c>
      <c r="N22" s="2" t="n">
        <v>145</v>
      </c>
      <c r="O22" s="4" t="n">
        <v>2490.26</v>
      </c>
      <c r="P22" s="5" t="n">
        <v>0</v>
      </c>
      <c r="Q22" s="4" t="n">
        <f aca="false">N22*O22*(1-P22)</f>
        <v>361087.7</v>
      </c>
      <c r="R22" s="4" t="n">
        <f aca="false">Q22*0.6529</f>
        <v>235754.15933</v>
      </c>
      <c r="S22" s="4" t="n">
        <f aca="false">Q22-R22</f>
        <v>125333.54067</v>
      </c>
      <c r="T22" s="2" t="n">
        <v>1.9</v>
      </c>
    </row>
    <row r="23" customFormat="false" ht="15" hidden="false" customHeight="false" outlineLevel="0" collapsed="false">
      <c r="A23" s="6" t="s">
        <v>138</v>
      </c>
      <c r="B23" s="7" t="n">
        <v>45483</v>
      </c>
      <c r="C23" s="7" t="n">
        <v>45495</v>
      </c>
      <c r="D23" s="6" t="s">
        <v>139</v>
      </c>
      <c r="E23" s="6" t="s">
        <v>140</v>
      </c>
      <c r="F23" s="6" t="s">
        <v>53</v>
      </c>
      <c r="G23" s="6" t="s">
        <v>135</v>
      </c>
      <c r="H23" s="6" t="s">
        <v>68</v>
      </c>
      <c r="I23" s="6" t="s">
        <v>141</v>
      </c>
      <c r="J23" s="6" t="s">
        <v>27</v>
      </c>
      <c r="K23" s="6" t="s">
        <v>28</v>
      </c>
      <c r="L23" s="6" t="s">
        <v>77</v>
      </c>
      <c r="M23" s="6" t="s">
        <v>114</v>
      </c>
      <c r="N23" s="6" t="n">
        <v>78</v>
      </c>
      <c r="O23" s="8" t="n">
        <v>1531.14</v>
      </c>
      <c r="P23" s="9" t="n">
        <v>0</v>
      </c>
      <c r="Q23" s="8" t="n">
        <f aca="false">N23*O23*(1-P23)</f>
        <v>119428.92</v>
      </c>
      <c r="R23" s="8" t="n">
        <f aca="false">Q23*0.73</f>
        <v>87183.1116</v>
      </c>
      <c r="S23" s="8" t="n">
        <f aca="false">Q23-R23</f>
        <v>32245.8084</v>
      </c>
      <c r="T23" s="6" t="n">
        <v>4.7</v>
      </c>
    </row>
    <row r="24" customFormat="false" ht="15" hidden="false" customHeight="false" outlineLevel="0" collapsed="false">
      <c r="A24" s="18" t="s">
        <v>142</v>
      </c>
      <c r="B24" s="19" t="n">
        <v>45215</v>
      </c>
      <c r="C24" s="19" t="n">
        <v>45225</v>
      </c>
      <c r="D24" s="18" t="s">
        <v>143</v>
      </c>
      <c r="E24" s="18" t="s">
        <v>140</v>
      </c>
      <c r="F24" s="18" t="s">
        <v>23</v>
      </c>
      <c r="G24" s="18" t="s">
        <v>24</v>
      </c>
      <c r="H24" s="18" t="s">
        <v>68</v>
      </c>
      <c r="I24" s="18" t="s">
        <v>141</v>
      </c>
      <c r="J24" s="18" t="s">
        <v>47</v>
      </c>
      <c r="K24" s="18" t="s">
        <v>55</v>
      </c>
      <c r="L24" s="18" t="s">
        <v>77</v>
      </c>
      <c r="M24" s="18" t="s">
        <v>49</v>
      </c>
      <c r="N24" s="18" t="n">
        <v>54</v>
      </c>
      <c r="O24" s="20" t="n">
        <v>1795.44</v>
      </c>
      <c r="P24" s="21" t="n">
        <v>0.05</v>
      </c>
      <c r="Q24" s="20" t="n">
        <f aca="false">N24*O24*(1-P24)</f>
        <v>92106.072</v>
      </c>
      <c r="R24" s="20" t="n">
        <f aca="false">Q24*0.713</f>
        <v>65671.629336</v>
      </c>
      <c r="S24" s="20" t="n">
        <f aca="false">Q24-R24</f>
        <v>26434.442664</v>
      </c>
      <c r="T24" s="18"/>
    </row>
    <row r="25" customFormat="false" ht="15" hidden="false" customHeight="false" outlineLevel="0" collapsed="false">
      <c r="A25" s="6" t="s">
        <v>144</v>
      </c>
      <c r="B25" s="7" t="n">
        <v>45268</v>
      </c>
      <c r="C25" s="7" t="n">
        <v>45281</v>
      </c>
      <c r="D25" s="6" t="s">
        <v>145</v>
      </c>
      <c r="E25" s="6" t="s">
        <v>42</v>
      </c>
      <c r="F25" s="6" t="s">
        <v>34</v>
      </c>
      <c r="G25" s="6" t="s">
        <v>128</v>
      </c>
      <c r="H25" s="6" t="s">
        <v>68</v>
      </c>
      <c r="I25" s="6" t="s">
        <v>141</v>
      </c>
      <c r="J25" s="6" t="s">
        <v>76</v>
      </c>
      <c r="K25" s="6" t="s">
        <v>55</v>
      </c>
      <c r="L25" s="6" t="s">
        <v>29</v>
      </c>
      <c r="M25" s="6" t="s">
        <v>137</v>
      </c>
      <c r="N25" s="6" t="n">
        <v>34</v>
      </c>
      <c r="O25" s="8" t="n">
        <v>1594.6</v>
      </c>
      <c r="P25" s="9" t="n">
        <v>0.1</v>
      </c>
      <c r="Q25" s="8" t="n">
        <f aca="false">N25*O25*(1-P25)</f>
        <v>48794.76</v>
      </c>
      <c r="R25" s="8" t="n">
        <f aca="false">Q25*0.5771</f>
        <v>28159.455996</v>
      </c>
      <c r="S25" s="8" t="n">
        <f aca="false">Q25-R25</f>
        <v>20635.304004</v>
      </c>
      <c r="T25" s="6"/>
    </row>
    <row r="26" customFormat="false" ht="15" hidden="false" customHeight="false" outlineLevel="0" collapsed="false">
      <c r="A26" s="14" t="s">
        <v>146</v>
      </c>
      <c r="B26" s="15" t="n">
        <v>44963</v>
      </c>
      <c r="C26" s="14"/>
      <c r="D26" s="14" t="s">
        <v>147</v>
      </c>
      <c r="E26" s="14" t="s">
        <v>42</v>
      </c>
      <c r="F26" s="14" t="s">
        <v>60</v>
      </c>
      <c r="G26" s="14" t="s">
        <v>67</v>
      </c>
      <c r="H26" s="14" t="s">
        <v>36</v>
      </c>
      <c r="I26" s="14" t="s">
        <v>88</v>
      </c>
      <c r="J26" s="14" t="s">
        <v>47</v>
      </c>
      <c r="K26" s="14" t="s">
        <v>101</v>
      </c>
      <c r="L26" s="14" t="s">
        <v>77</v>
      </c>
      <c r="M26" s="14" t="s">
        <v>30</v>
      </c>
      <c r="N26" s="14" t="n">
        <v>95</v>
      </c>
      <c r="O26" s="16" t="n">
        <v>1458.36</v>
      </c>
      <c r="P26" s="17" t="n">
        <v>0</v>
      </c>
      <c r="Q26" s="16" t="n">
        <f aca="false">N26*O26*(1-P26)</f>
        <v>138544.2</v>
      </c>
      <c r="R26" s="16" t="n">
        <f aca="false">Q26*0.7</f>
        <v>96980.94</v>
      </c>
      <c r="S26" s="16" t="n">
        <f aca="false">Q26-R26</f>
        <v>41563.26</v>
      </c>
      <c r="T26" s="14"/>
    </row>
    <row r="27" customFormat="false" ht="15" hidden="false" customHeight="false" outlineLevel="0" collapsed="false">
      <c r="A27" s="6" t="s">
        <v>148</v>
      </c>
      <c r="B27" s="7" t="n">
        <v>45609</v>
      </c>
      <c r="C27" s="7" t="n">
        <v>45611</v>
      </c>
      <c r="D27" s="6" t="s">
        <v>149</v>
      </c>
      <c r="E27" s="6" t="s">
        <v>140</v>
      </c>
      <c r="F27" s="6" t="s">
        <v>43</v>
      </c>
      <c r="G27" s="6" t="s">
        <v>150</v>
      </c>
      <c r="H27" s="6" t="s">
        <v>68</v>
      </c>
      <c r="I27" s="6" t="s">
        <v>151</v>
      </c>
      <c r="J27" s="6" t="s">
        <v>47</v>
      </c>
      <c r="K27" s="6" t="s">
        <v>84</v>
      </c>
      <c r="L27" s="6" t="s">
        <v>77</v>
      </c>
      <c r="M27" s="6" t="s">
        <v>56</v>
      </c>
      <c r="N27" s="6" t="n">
        <v>91</v>
      </c>
      <c r="O27" s="8" t="n">
        <v>1951.39</v>
      </c>
      <c r="P27" s="9" t="n">
        <v>0.2</v>
      </c>
      <c r="Q27" s="8" t="n">
        <f aca="false">N27*O27*(1-P27)</f>
        <v>142061.192</v>
      </c>
      <c r="R27" s="8" t="n">
        <f aca="false">Q27*0.6323</f>
        <v>89825.2917016</v>
      </c>
      <c r="S27" s="8" t="n">
        <f aca="false">Q27-R27</f>
        <v>52235.9002984</v>
      </c>
      <c r="T27" s="6"/>
    </row>
    <row r="28" customFormat="false" ht="15" hidden="false" customHeight="false" outlineLevel="0" collapsed="false">
      <c r="A28" s="2" t="s">
        <v>152</v>
      </c>
      <c r="B28" s="3" t="n">
        <v>45612</v>
      </c>
      <c r="C28" s="3" t="n">
        <v>45626</v>
      </c>
      <c r="D28" s="2" t="s">
        <v>153</v>
      </c>
      <c r="E28" s="2" t="s">
        <v>140</v>
      </c>
      <c r="F28" s="2" t="s">
        <v>43</v>
      </c>
      <c r="G28" s="2" t="s">
        <v>44</v>
      </c>
      <c r="H28" s="2" t="s">
        <v>45</v>
      </c>
      <c r="I28" s="2" t="s">
        <v>92</v>
      </c>
      <c r="J28" s="2" t="s">
        <v>76</v>
      </c>
      <c r="K28" s="2" t="s">
        <v>28</v>
      </c>
      <c r="L28" s="2" t="s">
        <v>48</v>
      </c>
      <c r="M28" s="2" t="s">
        <v>114</v>
      </c>
      <c r="N28" s="2" t="n">
        <v>189</v>
      </c>
      <c r="O28" s="4" t="n">
        <v>2027.82</v>
      </c>
      <c r="P28" s="5" t="n">
        <v>0.1</v>
      </c>
      <c r="Q28" s="4" t="n">
        <f aca="false">N28*O28*(1-P28)</f>
        <v>344932.182</v>
      </c>
      <c r="R28" s="4" t="n">
        <f aca="false">Q28*0.5619</f>
        <v>193817.3930658</v>
      </c>
      <c r="S28" s="4" t="n">
        <f aca="false">Q28-R28</f>
        <v>151114.7889342</v>
      </c>
      <c r="T28" s="2" t="n">
        <v>4.1</v>
      </c>
    </row>
    <row r="29" customFormat="false" ht="15" hidden="false" customHeight="false" outlineLevel="0" collapsed="false">
      <c r="A29" s="6" t="s">
        <v>154</v>
      </c>
      <c r="B29" s="7" t="n">
        <v>45239</v>
      </c>
      <c r="C29" s="7" t="n">
        <v>45253</v>
      </c>
      <c r="D29" s="6" t="s">
        <v>155</v>
      </c>
      <c r="E29" s="6" t="s">
        <v>108</v>
      </c>
      <c r="F29" s="6" t="s">
        <v>23</v>
      </c>
      <c r="G29" s="6" t="s">
        <v>156</v>
      </c>
      <c r="H29" s="6" t="s">
        <v>45</v>
      </c>
      <c r="I29" s="6" t="s">
        <v>157</v>
      </c>
      <c r="J29" s="6" t="s">
        <v>76</v>
      </c>
      <c r="K29" s="6" t="s">
        <v>28</v>
      </c>
      <c r="L29" s="6" t="s">
        <v>39</v>
      </c>
      <c r="M29" s="6" t="s">
        <v>49</v>
      </c>
      <c r="N29" s="6" t="n">
        <v>59</v>
      </c>
      <c r="O29" s="8" t="n">
        <v>561.19</v>
      </c>
      <c r="P29" s="9" t="n">
        <v>0.05</v>
      </c>
      <c r="Q29" s="8" t="n">
        <f aca="false">N29*O29*(1-P29)</f>
        <v>31454.6995</v>
      </c>
      <c r="R29" s="8" t="n">
        <f aca="false">Q29*0.6055</f>
        <v>19045.82054725</v>
      </c>
      <c r="S29" s="8" t="n">
        <f aca="false">Q29-R29</f>
        <v>12408.87895275</v>
      </c>
      <c r="T29" s="6" t="n">
        <v>2.3</v>
      </c>
    </row>
    <row r="30" customFormat="false" ht="15" hidden="false" customHeight="false" outlineLevel="0" collapsed="false">
      <c r="A30" s="2" t="s">
        <v>158</v>
      </c>
      <c r="B30" s="3" t="n">
        <v>45194</v>
      </c>
      <c r="C30" s="3" t="n">
        <v>45197</v>
      </c>
      <c r="D30" s="2" t="s">
        <v>159</v>
      </c>
      <c r="E30" s="2" t="s">
        <v>73</v>
      </c>
      <c r="F30" s="2" t="s">
        <v>23</v>
      </c>
      <c r="G30" s="2" t="s">
        <v>156</v>
      </c>
      <c r="H30" s="2" t="s">
        <v>68</v>
      </c>
      <c r="I30" s="2" t="s">
        <v>69</v>
      </c>
      <c r="J30" s="2" t="s">
        <v>38</v>
      </c>
      <c r="K30" s="2" t="s">
        <v>28</v>
      </c>
      <c r="L30" s="2" t="s">
        <v>29</v>
      </c>
      <c r="M30" s="2" t="s">
        <v>137</v>
      </c>
      <c r="N30" s="2" t="n">
        <v>149</v>
      </c>
      <c r="O30" s="4" t="n">
        <v>2406.52</v>
      </c>
      <c r="P30" s="5" t="n">
        <v>0.1</v>
      </c>
      <c r="Q30" s="4" t="n">
        <f aca="false">N30*O30*(1-P30)</f>
        <v>322714.332</v>
      </c>
      <c r="R30" s="4" t="n">
        <f aca="false">Q30*0.6812</f>
        <v>219833.0029584</v>
      </c>
      <c r="S30" s="4" t="n">
        <f aca="false">Q30-R30</f>
        <v>102881.3290416</v>
      </c>
      <c r="T30" s="2" t="n">
        <v>1.4</v>
      </c>
    </row>
    <row r="31" customFormat="false" ht="15" hidden="false" customHeight="false" outlineLevel="0" collapsed="false">
      <c r="A31" s="6" t="s">
        <v>160</v>
      </c>
      <c r="B31" s="7" t="n">
        <v>45517</v>
      </c>
      <c r="C31" s="6"/>
      <c r="D31" s="6" t="s">
        <v>161</v>
      </c>
      <c r="E31" s="6" t="s">
        <v>73</v>
      </c>
      <c r="F31" s="6" t="s">
        <v>60</v>
      </c>
      <c r="G31" s="6" t="s">
        <v>61</v>
      </c>
      <c r="H31" s="6" t="s">
        <v>25</v>
      </c>
      <c r="I31" s="6" t="s">
        <v>26</v>
      </c>
      <c r="J31" s="6" t="s">
        <v>38</v>
      </c>
      <c r="K31" s="6" t="s">
        <v>101</v>
      </c>
      <c r="L31" s="6" t="s">
        <v>29</v>
      </c>
      <c r="M31" s="6" t="s">
        <v>114</v>
      </c>
      <c r="N31" s="6" t="n">
        <v>49</v>
      </c>
      <c r="O31" s="8" t="n">
        <v>640.53</v>
      </c>
      <c r="P31" s="9" t="n">
        <v>0.2</v>
      </c>
      <c r="Q31" s="8" t="n">
        <f aca="false">N31*O31*(1-P31)</f>
        <v>25108.776</v>
      </c>
      <c r="R31" s="8" t="n">
        <f aca="false">Q31*0.6903</f>
        <v>17332.5880728</v>
      </c>
      <c r="S31" s="8" t="n">
        <f aca="false">Q31-R31</f>
        <v>7776.1879272</v>
      </c>
      <c r="T31" s="6"/>
    </row>
    <row r="32" customFormat="false" ht="15" hidden="false" customHeight="false" outlineLevel="0" collapsed="false">
      <c r="A32" s="10" t="s">
        <v>162</v>
      </c>
      <c r="B32" s="11" t="n">
        <v>45446</v>
      </c>
      <c r="C32" s="10"/>
      <c r="D32" s="10" t="s">
        <v>163</v>
      </c>
      <c r="E32" s="10" t="s">
        <v>42</v>
      </c>
      <c r="F32" s="10" t="s">
        <v>34</v>
      </c>
      <c r="G32" s="10" t="s">
        <v>164</v>
      </c>
      <c r="H32" s="10" t="s">
        <v>68</v>
      </c>
      <c r="I32" s="10" t="s">
        <v>136</v>
      </c>
      <c r="J32" s="10" t="s">
        <v>70</v>
      </c>
      <c r="K32" s="10" t="s">
        <v>64</v>
      </c>
      <c r="L32" s="10" t="s">
        <v>29</v>
      </c>
      <c r="M32" s="10" t="s">
        <v>49</v>
      </c>
      <c r="N32" s="10" t="n">
        <v>80</v>
      </c>
      <c r="O32" s="12" t="n">
        <v>1668.9</v>
      </c>
      <c r="P32" s="13" t="n">
        <v>0.15</v>
      </c>
      <c r="Q32" s="12" t="n">
        <f aca="false">N32*O32*(1-P32)</f>
        <v>113485.2</v>
      </c>
      <c r="R32" s="12" t="n">
        <f aca="false">Q32*0.5765</f>
        <v>65424.2178</v>
      </c>
      <c r="S32" s="12" t="n">
        <f aca="false">Q32-R32</f>
        <v>48060.9822</v>
      </c>
      <c r="T32" s="10"/>
    </row>
    <row r="33" customFormat="false" ht="15" hidden="false" customHeight="false" outlineLevel="0" collapsed="false">
      <c r="A33" s="6" t="s">
        <v>165</v>
      </c>
      <c r="B33" s="7" t="n">
        <v>45509</v>
      </c>
      <c r="C33" s="6"/>
      <c r="D33" s="6" t="s">
        <v>166</v>
      </c>
      <c r="E33" s="6" t="s">
        <v>73</v>
      </c>
      <c r="F33" s="6" t="s">
        <v>53</v>
      </c>
      <c r="G33" s="6" t="s">
        <v>54</v>
      </c>
      <c r="H33" s="6" t="s">
        <v>62</v>
      </c>
      <c r="I33" s="6" t="s">
        <v>118</v>
      </c>
      <c r="J33" s="6" t="s">
        <v>76</v>
      </c>
      <c r="K33" s="6" t="s">
        <v>64</v>
      </c>
      <c r="L33" s="6" t="s">
        <v>77</v>
      </c>
      <c r="M33" s="6" t="s">
        <v>30</v>
      </c>
      <c r="N33" s="6" t="n">
        <v>78</v>
      </c>
      <c r="O33" s="8" t="n">
        <v>1018.16</v>
      </c>
      <c r="P33" s="9" t="n">
        <v>0</v>
      </c>
      <c r="Q33" s="8" t="n">
        <f aca="false">N33*O33*(1-P33)</f>
        <v>79416.48</v>
      </c>
      <c r="R33" s="8" t="n">
        <f aca="false">Q33*0.5792</f>
        <v>45998.025216</v>
      </c>
      <c r="S33" s="8" t="n">
        <f aca="false">Q33-R33</f>
        <v>33418.454784</v>
      </c>
      <c r="T33" s="6"/>
    </row>
    <row r="34" customFormat="false" ht="15" hidden="false" customHeight="false" outlineLevel="0" collapsed="false">
      <c r="A34" s="2" t="s">
        <v>167</v>
      </c>
      <c r="B34" s="3" t="n">
        <v>45450</v>
      </c>
      <c r="C34" s="3" t="n">
        <v>45458</v>
      </c>
      <c r="D34" s="2" t="s">
        <v>168</v>
      </c>
      <c r="E34" s="2" t="s">
        <v>52</v>
      </c>
      <c r="F34" s="2" t="s">
        <v>53</v>
      </c>
      <c r="G34" s="2" t="s">
        <v>135</v>
      </c>
      <c r="H34" s="2" t="s">
        <v>82</v>
      </c>
      <c r="I34" s="2" t="s">
        <v>169</v>
      </c>
      <c r="J34" s="2" t="s">
        <v>70</v>
      </c>
      <c r="K34" s="2" t="s">
        <v>28</v>
      </c>
      <c r="L34" s="2" t="s">
        <v>39</v>
      </c>
      <c r="M34" s="2" t="s">
        <v>56</v>
      </c>
      <c r="N34" s="2" t="n">
        <v>189</v>
      </c>
      <c r="O34" s="4" t="n">
        <v>428.38</v>
      </c>
      <c r="P34" s="5" t="n">
        <v>0</v>
      </c>
      <c r="Q34" s="4" t="n">
        <f aca="false">N34*O34*(1-P34)</f>
        <v>80963.82</v>
      </c>
      <c r="R34" s="4" t="n">
        <f aca="false">Q34*0.6144</f>
        <v>49744.171008</v>
      </c>
      <c r="S34" s="4" t="n">
        <f aca="false">Q34-R34</f>
        <v>31219.648992</v>
      </c>
      <c r="T34" s="2" t="n">
        <v>3.1</v>
      </c>
    </row>
    <row r="35" customFormat="false" ht="15" hidden="false" customHeight="false" outlineLevel="0" collapsed="false">
      <c r="A35" s="6" t="s">
        <v>170</v>
      </c>
      <c r="B35" s="7" t="n">
        <v>44952</v>
      </c>
      <c r="C35" s="7" t="n">
        <v>44953</v>
      </c>
      <c r="D35" s="6" t="s">
        <v>171</v>
      </c>
      <c r="E35" s="6" t="s">
        <v>87</v>
      </c>
      <c r="F35" s="6" t="s">
        <v>34</v>
      </c>
      <c r="G35" s="6" t="s">
        <v>74</v>
      </c>
      <c r="H35" s="6" t="s">
        <v>109</v>
      </c>
      <c r="I35" s="6" t="s">
        <v>172</v>
      </c>
      <c r="J35" s="6" t="s">
        <v>70</v>
      </c>
      <c r="K35" s="6" t="s">
        <v>28</v>
      </c>
      <c r="L35" s="6" t="s">
        <v>77</v>
      </c>
      <c r="M35" s="6" t="s">
        <v>56</v>
      </c>
      <c r="N35" s="6" t="n">
        <v>63</v>
      </c>
      <c r="O35" s="8" t="n">
        <v>2459.92</v>
      </c>
      <c r="P35" s="9" t="n">
        <v>0</v>
      </c>
      <c r="Q35" s="8" t="n">
        <f aca="false">N35*O35*(1-P35)</f>
        <v>154974.96</v>
      </c>
      <c r="R35" s="8" t="n">
        <f aca="false">Q35*0.5995</f>
        <v>92907.48852</v>
      </c>
      <c r="S35" s="8" t="n">
        <f aca="false">Q35-R35</f>
        <v>62067.47148</v>
      </c>
      <c r="T35" s="6" t="n">
        <v>2.7</v>
      </c>
    </row>
    <row r="36" customFormat="false" ht="15" hidden="false" customHeight="false" outlineLevel="0" collapsed="false">
      <c r="A36" s="2" t="s">
        <v>173</v>
      </c>
      <c r="B36" s="3" t="n">
        <v>45362</v>
      </c>
      <c r="C36" s="3" t="n">
        <v>45366</v>
      </c>
      <c r="D36" s="2" t="s">
        <v>174</v>
      </c>
      <c r="E36" s="2" t="s">
        <v>95</v>
      </c>
      <c r="F36" s="2" t="s">
        <v>34</v>
      </c>
      <c r="G36" s="2" t="s">
        <v>164</v>
      </c>
      <c r="H36" s="2" t="s">
        <v>25</v>
      </c>
      <c r="I36" s="2" t="s">
        <v>175</v>
      </c>
      <c r="J36" s="2" t="s">
        <v>76</v>
      </c>
      <c r="K36" s="2" t="s">
        <v>28</v>
      </c>
      <c r="L36" s="2" t="s">
        <v>29</v>
      </c>
      <c r="M36" s="2" t="s">
        <v>137</v>
      </c>
      <c r="N36" s="2" t="n">
        <v>46</v>
      </c>
      <c r="O36" s="4" t="n">
        <v>2011.25</v>
      </c>
      <c r="P36" s="5" t="n">
        <v>0.25</v>
      </c>
      <c r="Q36" s="4" t="n">
        <f aca="false">N36*O36*(1-P36)</f>
        <v>69388.125</v>
      </c>
      <c r="R36" s="4" t="n">
        <f aca="false">Q36*0.7187</f>
        <v>49869.2454375</v>
      </c>
      <c r="S36" s="4" t="n">
        <f aca="false">Q36-R36</f>
        <v>19518.8795625</v>
      </c>
      <c r="T36" s="2" t="n">
        <v>3.2</v>
      </c>
    </row>
    <row r="37" customFormat="false" ht="15" hidden="false" customHeight="false" outlineLevel="0" collapsed="false">
      <c r="A37" s="6" t="s">
        <v>176</v>
      </c>
      <c r="B37" s="7" t="n">
        <v>45554</v>
      </c>
      <c r="C37" s="6"/>
      <c r="D37" s="6" t="s">
        <v>177</v>
      </c>
      <c r="E37" s="6" t="s">
        <v>87</v>
      </c>
      <c r="F37" s="6" t="s">
        <v>23</v>
      </c>
      <c r="G37" s="6" t="s">
        <v>156</v>
      </c>
      <c r="H37" s="6" t="s">
        <v>62</v>
      </c>
      <c r="I37" s="6" t="s">
        <v>75</v>
      </c>
      <c r="J37" s="6" t="s">
        <v>38</v>
      </c>
      <c r="K37" s="6" t="s">
        <v>101</v>
      </c>
      <c r="L37" s="6" t="s">
        <v>48</v>
      </c>
      <c r="M37" s="6" t="s">
        <v>114</v>
      </c>
      <c r="N37" s="6" t="n">
        <v>185</v>
      </c>
      <c r="O37" s="8" t="n">
        <v>2230.59</v>
      </c>
      <c r="P37" s="9" t="n">
        <v>0.2</v>
      </c>
      <c r="Q37" s="8" t="n">
        <f aca="false">N37*O37*(1-P37)</f>
        <v>330127.32</v>
      </c>
      <c r="R37" s="8" t="n">
        <f aca="false">Q37*0.6285</f>
        <v>207485.02062</v>
      </c>
      <c r="S37" s="8" t="n">
        <f aca="false">Q37-R37</f>
        <v>122642.29938</v>
      </c>
      <c r="T37" s="6"/>
    </row>
    <row r="38" customFormat="false" ht="15" hidden="false" customHeight="false" outlineLevel="0" collapsed="false">
      <c r="A38" s="18" t="s">
        <v>178</v>
      </c>
      <c r="B38" s="19" t="n">
        <v>45423</v>
      </c>
      <c r="C38" s="19" t="n">
        <v>45434</v>
      </c>
      <c r="D38" s="18" t="s">
        <v>179</v>
      </c>
      <c r="E38" s="18" t="s">
        <v>95</v>
      </c>
      <c r="F38" s="18" t="s">
        <v>60</v>
      </c>
      <c r="G38" s="18" t="s">
        <v>113</v>
      </c>
      <c r="H38" s="18" t="s">
        <v>25</v>
      </c>
      <c r="I38" s="18" t="s">
        <v>175</v>
      </c>
      <c r="J38" s="18" t="s">
        <v>70</v>
      </c>
      <c r="K38" s="18" t="s">
        <v>55</v>
      </c>
      <c r="L38" s="18" t="s">
        <v>48</v>
      </c>
      <c r="M38" s="18" t="s">
        <v>30</v>
      </c>
      <c r="N38" s="18" t="n">
        <v>62</v>
      </c>
      <c r="O38" s="20" t="n">
        <v>690.12</v>
      </c>
      <c r="P38" s="21" t="n">
        <v>0</v>
      </c>
      <c r="Q38" s="20" t="n">
        <f aca="false">N38*O38*(1-P38)</f>
        <v>42787.44</v>
      </c>
      <c r="R38" s="20" t="n">
        <f aca="false">Q38*0.5784</f>
        <v>24748.255296</v>
      </c>
      <c r="S38" s="20" t="n">
        <f aca="false">Q38-R38</f>
        <v>18039.184704</v>
      </c>
      <c r="T38" s="18"/>
    </row>
    <row r="39" customFormat="false" ht="15" hidden="false" customHeight="false" outlineLevel="0" collapsed="false">
      <c r="A39" s="6" t="s">
        <v>180</v>
      </c>
      <c r="B39" s="7" t="n">
        <v>45319</v>
      </c>
      <c r="C39" s="7" t="n">
        <v>45331</v>
      </c>
      <c r="D39" s="6" t="s">
        <v>181</v>
      </c>
      <c r="E39" s="6" t="s">
        <v>140</v>
      </c>
      <c r="F39" s="6" t="s">
        <v>43</v>
      </c>
      <c r="G39" s="6" t="s">
        <v>104</v>
      </c>
      <c r="H39" s="6" t="s">
        <v>68</v>
      </c>
      <c r="I39" s="6" t="s">
        <v>151</v>
      </c>
      <c r="J39" s="6" t="s">
        <v>38</v>
      </c>
      <c r="K39" s="6" t="s">
        <v>28</v>
      </c>
      <c r="L39" s="6" t="s">
        <v>77</v>
      </c>
      <c r="M39" s="6" t="s">
        <v>56</v>
      </c>
      <c r="N39" s="6" t="n">
        <v>40</v>
      </c>
      <c r="O39" s="8" t="n">
        <v>1767.52</v>
      </c>
      <c r="P39" s="9" t="n">
        <v>0</v>
      </c>
      <c r="Q39" s="8" t="n">
        <f aca="false">N39*O39*(1-P39)</f>
        <v>70700.8</v>
      </c>
      <c r="R39" s="8" t="n">
        <f aca="false">Q39*0.6765</f>
        <v>47829.0912</v>
      </c>
      <c r="S39" s="8" t="n">
        <f aca="false">Q39-R39</f>
        <v>22871.7088</v>
      </c>
      <c r="T39" s="6" t="n">
        <v>2.6</v>
      </c>
    </row>
    <row r="40" customFormat="false" ht="15" hidden="false" customHeight="false" outlineLevel="0" collapsed="false">
      <c r="A40" s="2" t="s">
        <v>182</v>
      </c>
      <c r="B40" s="3" t="n">
        <v>45316</v>
      </c>
      <c r="C40" s="3" t="n">
        <v>45324</v>
      </c>
      <c r="D40" s="2" t="s">
        <v>183</v>
      </c>
      <c r="E40" s="2" t="s">
        <v>22</v>
      </c>
      <c r="F40" s="2" t="s">
        <v>34</v>
      </c>
      <c r="G40" s="2" t="s">
        <v>128</v>
      </c>
      <c r="H40" s="2" t="s">
        <v>82</v>
      </c>
      <c r="I40" s="2" t="s">
        <v>83</v>
      </c>
      <c r="J40" s="2" t="s">
        <v>76</v>
      </c>
      <c r="K40" s="2" t="s">
        <v>28</v>
      </c>
      <c r="L40" s="2" t="s">
        <v>29</v>
      </c>
      <c r="M40" s="2" t="s">
        <v>30</v>
      </c>
      <c r="N40" s="2" t="n">
        <v>2</v>
      </c>
      <c r="O40" s="4" t="n">
        <v>2357.14</v>
      </c>
      <c r="P40" s="5" t="n">
        <v>0.1</v>
      </c>
      <c r="Q40" s="4" t="n">
        <f aca="false">N40*O40*(1-P40)</f>
        <v>4242.852</v>
      </c>
      <c r="R40" s="4" t="n">
        <f aca="false">Q40*0.6756</f>
        <v>2866.4708112</v>
      </c>
      <c r="S40" s="4" t="n">
        <f aca="false">Q40-R40</f>
        <v>1376.3811888</v>
      </c>
      <c r="T40" s="2" t="n">
        <v>4.4</v>
      </c>
    </row>
    <row r="41" customFormat="false" ht="15" hidden="false" customHeight="false" outlineLevel="0" collapsed="false">
      <c r="A41" s="6" t="s">
        <v>184</v>
      </c>
      <c r="B41" s="7" t="n">
        <v>45611</v>
      </c>
      <c r="C41" s="7" t="n">
        <v>45622</v>
      </c>
      <c r="D41" s="6" t="s">
        <v>185</v>
      </c>
      <c r="E41" s="6" t="s">
        <v>124</v>
      </c>
      <c r="F41" s="6" t="s">
        <v>60</v>
      </c>
      <c r="G41" s="6" t="s">
        <v>113</v>
      </c>
      <c r="H41" s="6" t="s">
        <v>82</v>
      </c>
      <c r="I41" s="6" t="s">
        <v>186</v>
      </c>
      <c r="J41" s="6" t="s">
        <v>76</v>
      </c>
      <c r="K41" s="6" t="s">
        <v>28</v>
      </c>
      <c r="L41" s="6" t="s">
        <v>39</v>
      </c>
      <c r="M41" s="6" t="s">
        <v>49</v>
      </c>
      <c r="N41" s="6" t="n">
        <v>104</v>
      </c>
      <c r="O41" s="8" t="n">
        <v>1811.83</v>
      </c>
      <c r="P41" s="9" t="n">
        <v>0.25</v>
      </c>
      <c r="Q41" s="8" t="n">
        <f aca="false">N41*O41*(1-P41)</f>
        <v>141322.74</v>
      </c>
      <c r="R41" s="8" t="n">
        <f aca="false">Q41*0.625</f>
        <v>88326.7125</v>
      </c>
      <c r="S41" s="8" t="n">
        <f aca="false">Q41-R41</f>
        <v>52996.0275</v>
      </c>
      <c r="T41" s="6" t="n">
        <v>4.9</v>
      </c>
    </row>
    <row r="42" customFormat="false" ht="15" hidden="false" customHeight="false" outlineLevel="0" collapsed="false">
      <c r="A42" s="2" t="s">
        <v>187</v>
      </c>
      <c r="B42" s="3" t="n">
        <v>45399</v>
      </c>
      <c r="C42" s="3" t="n">
        <v>45402</v>
      </c>
      <c r="D42" s="2" t="s">
        <v>188</v>
      </c>
      <c r="E42" s="2" t="s">
        <v>52</v>
      </c>
      <c r="F42" s="2" t="s">
        <v>34</v>
      </c>
      <c r="G42" s="2" t="s">
        <v>35</v>
      </c>
      <c r="H42" s="2" t="s">
        <v>82</v>
      </c>
      <c r="I42" s="2" t="s">
        <v>169</v>
      </c>
      <c r="J42" s="2" t="s">
        <v>47</v>
      </c>
      <c r="K42" s="2" t="s">
        <v>28</v>
      </c>
      <c r="L42" s="2" t="s">
        <v>39</v>
      </c>
      <c r="M42" s="2" t="s">
        <v>56</v>
      </c>
      <c r="N42" s="2" t="n">
        <v>13</v>
      </c>
      <c r="O42" s="4" t="n">
        <v>654.09</v>
      </c>
      <c r="P42" s="5" t="n">
        <v>0.15</v>
      </c>
      <c r="Q42" s="4" t="n">
        <f aca="false">N42*O42*(1-P42)</f>
        <v>7227.6945</v>
      </c>
      <c r="R42" s="4" t="n">
        <f aca="false">Q42*0.5651</f>
        <v>4084.37016195</v>
      </c>
      <c r="S42" s="4" t="n">
        <f aca="false">Q42-R42</f>
        <v>3143.32433805</v>
      </c>
      <c r="T42" s="2" t="n">
        <v>2.8</v>
      </c>
    </row>
    <row r="43" customFormat="false" ht="15" hidden="false" customHeight="false" outlineLevel="0" collapsed="false">
      <c r="A43" s="6" t="s">
        <v>189</v>
      </c>
      <c r="B43" s="7" t="n">
        <v>45156</v>
      </c>
      <c r="C43" s="7" t="n">
        <v>45167</v>
      </c>
      <c r="D43" s="6" t="s">
        <v>190</v>
      </c>
      <c r="E43" s="6" t="s">
        <v>124</v>
      </c>
      <c r="F43" s="6" t="s">
        <v>53</v>
      </c>
      <c r="G43" s="6" t="s">
        <v>191</v>
      </c>
      <c r="H43" s="6" t="s">
        <v>68</v>
      </c>
      <c r="I43" s="6" t="s">
        <v>136</v>
      </c>
      <c r="J43" s="6" t="s">
        <v>47</v>
      </c>
      <c r="K43" s="6" t="s">
        <v>28</v>
      </c>
      <c r="L43" s="6" t="s">
        <v>29</v>
      </c>
      <c r="M43" s="6" t="s">
        <v>49</v>
      </c>
      <c r="N43" s="6" t="n">
        <v>18</v>
      </c>
      <c r="O43" s="8" t="n">
        <v>1954.18</v>
      </c>
      <c r="P43" s="9" t="n">
        <v>0</v>
      </c>
      <c r="Q43" s="8" t="n">
        <f aca="false">N43*O43*(1-P43)</f>
        <v>35175.24</v>
      </c>
      <c r="R43" s="8" t="n">
        <f aca="false">Q43*0.7089</f>
        <v>24935.727636</v>
      </c>
      <c r="S43" s="8" t="n">
        <f aca="false">Q43-R43</f>
        <v>10239.512364</v>
      </c>
      <c r="T43" s="6" t="n">
        <v>4.8</v>
      </c>
    </row>
    <row r="44" customFormat="false" ht="15" hidden="false" customHeight="false" outlineLevel="0" collapsed="false">
      <c r="A44" s="2" t="s">
        <v>192</v>
      </c>
      <c r="B44" s="3" t="n">
        <v>45150</v>
      </c>
      <c r="C44" s="3" t="n">
        <v>45158</v>
      </c>
      <c r="D44" s="2" t="s">
        <v>193</v>
      </c>
      <c r="E44" s="2" t="s">
        <v>22</v>
      </c>
      <c r="F44" s="2" t="s">
        <v>43</v>
      </c>
      <c r="G44" s="2" t="s">
        <v>150</v>
      </c>
      <c r="H44" s="2" t="s">
        <v>36</v>
      </c>
      <c r="I44" s="2" t="s">
        <v>37</v>
      </c>
      <c r="J44" s="2" t="s">
        <v>27</v>
      </c>
      <c r="K44" s="2" t="s">
        <v>28</v>
      </c>
      <c r="L44" s="2" t="s">
        <v>29</v>
      </c>
      <c r="M44" s="2" t="s">
        <v>30</v>
      </c>
      <c r="N44" s="2" t="n">
        <v>180</v>
      </c>
      <c r="O44" s="4" t="n">
        <v>644.33</v>
      </c>
      <c r="P44" s="5" t="n">
        <v>0.15</v>
      </c>
      <c r="Q44" s="4" t="n">
        <f aca="false">N44*O44*(1-P44)</f>
        <v>98582.49</v>
      </c>
      <c r="R44" s="4" t="n">
        <f aca="false">Q44*0.7038</f>
        <v>69382.356462</v>
      </c>
      <c r="S44" s="4" t="n">
        <f aca="false">Q44-R44</f>
        <v>29200.133538</v>
      </c>
      <c r="T44" s="2" t="n">
        <v>3.4</v>
      </c>
    </row>
    <row r="45" customFormat="false" ht="15" hidden="false" customHeight="false" outlineLevel="0" collapsed="false">
      <c r="A45" s="6" t="s">
        <v>194</v>
      </c>
      <c r="B45" s="7" t="n">
        <v>45130</v>
      </c>
      <c r="C45" s="7" t="n">
        <v>45132</v>
      </c>
      <c r="D45" s="6" t="s">
        <v>195</v>
      </c>
      <c r="E45" s="6" t="s">
        <v>52</v>
      </c>
      <c r="F45" s="6" t="s">
        <v>23</v>
      </c>
      <c r="G45" s="6" t="s">
        <v>24</v>
      </c>
      <c r="H45" s="6" t="s">
        <v>68</v>
      </c>
      <c r="I45" s="6" t="s">
        <v>141</v>
      </c>
      <c r="J45" s="6" t="s">
        <v>47</v>
      </c>
      <c r="K45" s="6" t="s">
        <v>84</v>
      </c>
      <c r="L45" s="6" t="s">
        <v>39</v>
      </c>
      <c r="M45" s="6" t="s">
        <v>114</v>
      </c>
      <c r="N45" s="6" t="n">
        <v>152</v>
      </c>
      <c r="O45" s="8" t="n">
        <v>1728.08</v>
      </c>
      <c r="P45" s="9" t="n">
        <v>0.05</v>
      </c>
      <c r="Q45" s="8" t="n">
        <f aca="false">N45*O45*(1-P45)</f>
        <v>249534.752</v>
      </c>
      <c r="R45" s="8" t="n">
        <f aca="false">Q45*0.6306</f>
        <v>157356.6146112</v>
      </c>
      <c r="S45" s="8" t="n">
        <f aca="false">Q45-R45</f>
        <v>92178.1373888</v>
      </c>
      <c r="T45" s="6"/>
    </row>
    <row r="46" customFormat="false" ht="15" hidden="false" customHeight="false" outlineLevel="0" collapsed="false">
      <c r="A46" s="18" t="s">
        <v>196</v>
      </c>
      <c r="B46" s="19" t="n">
        <v>45365</v>
      </c>
      <c r="C46" s="19" t="n">
        <v>45376</v>
      </c>
      <c r="D46" s="18" t="s">
        <v>197</v>
      </c>
      <c r="E46" s="18" t="s">
        <v>80</v>
      </c>
      <c r="F46" s="18" t="s">
        <v>53</v>
      </c>
      <c r="G46" s="18" t="s">
        <v>54</v>
      </c>
      <c r="H46" s="18" t="s">
        <v>45</v>
      </c>
      <c r="I46" s="18" t="s">
        <v>157</v>
      </c>
      <c r="J46" s="18" t="s">
        <v>38</v>
      </c>
      <c r="K46" s="18" t="s">
        <v>55</v>
      </c>
      <c r="L46" s="18" t="s">
        <v>48</v>
      </c>
      <c r="M46" s="18" t="s">
        <v>30</v>
      </c>
      <c r="N46" s="18" t="n">
        <v>95</v>
      </c>
      <c r="O46" s="20" t="n">
        <v>177.05</v>
      </c>
      <c r="P46" s="21" t="n">
        <v>0.15</v>
      </c>
      <c r="Q46" s="20" t="n">
        <f aca="false">N46*O46*(1-P46)</f>
        <v>14296.7875</v>
      </c>
      <c r="R46" s="20" t="n">
        <f aca="false">Q46*0.7</f>
        <v>10007.75125</v>
      </c>
      <c r="S46" s="20" t="n">
        <f aca="false">Q46-R46</f>
        <v>4289.03625</v>
      </c>
      <c r="T46" s="18"/>
    </row>
    <row r="47" customFormat="false" ht="15" hidden="false" customHeight="false" outlineLevel="0" collapsed="false">
      <c r="A47" s="6" t="s">
        <v>198</v>
      </c>
      <c r="B47" s="7" t="n">
        <v>45461</v>
      </c>
      <c r="C47" s="7" t="n">
        <v>45472</v>
      </c>
      <c r="D47" s="6" t="s">
        <v>199</v>
      </c>
      <c r="E47" s="6" t="s">
        <v>59</v>
      </c>
      <c r="F47" s="6" t="s">
        <v>60</v>
      </c>
      <c r="G47" s="6" t="s">
        <v>67</v>
      </c>
      <c r="H47" s="6" t="s">
        <v>109</v>
      </c>
      <c r="I47" s="6" t="s">
        <v>92</v>
      </c>
      <c r="J47" s="6" t="s">
        <v>76</v>
      </c>
      <c r="K47" s="6" t="s">
        <v>55</v>
      </c>
      <c r="L47" s="6" t="s">
        <v>39</v>
      </c>
      <c r="M47" s="6" t="s">
        <v>56</v>
      </c>
      <c r="N47" s="6" t="n">
        <v>70</v>
      </c>
      <c r="O47" s="8" t="n">
        <v>1541.7</v>
      </c>
      <c r="P47" s="9" t="n">
        <v>0.25</v>
      </c>
      <c r="Q47" s="8" t="n">
        <f aca="false">N47*O47*(1-P47)</f>
        <v>80939.25</v>
      </c>
      <c r="R47" s="8" t="n">
        <f aca="false">Q47*0.6889</f>
        <v>55759.049325</v>
      </c>
      <c r="S47" s="8" t="n">
        <f aca="false">Q47-R47</f>
        <v>25180.200675</v>
      </c>
      <c r="T47" s="6"/>
    </row>
    <row r="48" customFormat="false" ht="15" hidden="false" customHeight="false" outlineLevel="0" collapsed="false">
      <c r="A48" s="2" t="s">
        <v>200</v>
      </c>
      <c r="B48" s="3" t="n">
        <v>45402</v>
      </c>
      <c r="C48" s="3" t="n">
        <v>45412</v>
      </c>
      <c r="D48" s="2" t="s">
        <v>201</v>
      </c>
      <c r="E48" s="2" t="s">
        <v>108</v>
      </c>
      <c r="F48" s="2" t="s">
        <v>60</v>
      </c>
      <c r="G48" s="2" t="s">
        <v>61</v>
      </c>
      <c r="H48" s="2" t="s">
        <v>68</v>
      </c>
      <c r="I48" s="2" t="s">
        <v>202</v>
      </c>
      <c r="J48" s="2" t="s">
        <v>47</v>
      </c>
      <c r="K48" s="2" t="s">
        <v>28</v>
      </c>
      <c r="L48" s="2" t="s">
        <v>39</v>
      </c>
      <c r="M48" s="2" t="s">
        <v>56</v>
      </c>
      <c r="N48" s="2" t="n">
        <v>157</v>
      </c>
      <c r="O48" s="4" t="n">
        <v>1672.13</v>
      </c>
      <c r="P48" s="5" t="n">
        <v>0.15</v>
      </c>
      <c r="Q48" s="4" t="n">
        <f aca="false">N48*O48*(1-P48)</f>
        <v>223145.7485</v>
      </c>
      <c r="R48" s="4" t="n">
        <f aca="false">Q48*0.7255</f>
        <v>161892.24053675</v>
      </c>
      <c r="S48" s="4" t="n">
        <f aca="false">Q48-R48</f>
        <v>61253.50796325</v>
      </c>
      <c r="T48" s="2" t="n">
        <v>3</v>
      </c>
    </row>
    <row r="49" customFormat="false" ht="15" hidden="false" customHeight="false" outlineLevel="0" collapsed="false">
      <c r="A49" s="6" t="s">
        <v>203</v>
      </c>
      <c r="B49" s="7" t="n">
        <v>44937</v>
      </c>
      <c r="C49" s="7" t="n">
        <v>44946</v>
      </c>
      <c r="D49" s="6" t="s">
        <v>204</v>
      </c>
      <c r="E49" s="6" t="s">
        <v>59</v>
      </c>
      <c r="F49" s="6" t="s">
        <v>53</v>
      </c>
      <c r="G49" s="6" t="s">
        <v>135</v>
      </c>
      <c r="H49" s="6" t="s">
        <v>82</v>
      </c>
      <c r="I49" s="6" t="s">
        <v>186</v>
      </c>
      <c r="J49" s="6" t="s">
        <v>70</v>
      </c>
      <c r="K49" s="6" t="s">
        <v>28</v>
      </c>
      <c r="L49" s="6" t="s">
        <v>48</v>
      </c>
      <c r="M49" s="6" t="s">
        <v>30</v>
      </c>
      <c r="N49" s="6" t="n">
        <v>49</v>
      </c>
      <c r="O49" s="8" t="n">
        <v>218.6</v>
      </c>
      <c r="P49" s="9" t="n">
        <v>0.2</v>
      </c>
      <c r="Q49" s="8" t="n">
        <f aca="false">N49*O49*(1-P49)</f>
        <v>8569.12</v>
      </c>
      <c r="R49" s="8" t="n">
        <f aca="false">Q49*0.6409</f>
        <v>5491.949008</v>
      </c>
      <c r="S49" s="8" t="n">
        <f aca="false">Q49-R49</f>
        <v>3077.170992</v>
      </c>
      <c r="T49" s="6" t="n">
        <v>3.2</v>
      </c>
    </row>
    <row r="50" customFormat="false" ht="15" hidden="false" customHeight="false" outlineLevel="0" collapsed="false">
      <c r="A50" s="2" t="s">
        <v>205</v>
      </c>
      <c r="B50" s="3" t="n">
        <v>45635</v>
      </c>
      <c r="C50" s="3" t="n">
        <v>45639</v>
      </c>
      <c r="D50" s="2" t="s">
        <v>206</v>
      </c>
      <c r="E50" s="2" t="s">
        <v>95</v>
      </c>
      <c r="F50" s="2" t="s">
        <v>43</v>
      </c>
      <c r="G50" s="2" t="s">
        <v>125</v>
      </c>
      <c r="H50" s="2" t="s">
        <v>25</v>
      </c>
      <c r="I50" s="2" t="s">
        <v>175</v>
      </c>
      <c r="J50" s="2" t="s">
        <v>47</v>
      </c>
      <c r="K50" s="2" t="s">
        <v>28</v>
      </c>
      <c r="L50" s="2" t="s">
        <v>77</v>
      </c>
      <c r="M50" s="2" t="s">
        <v>114</v>
      </c>
      <c r="N50" s="2" t="n">
        <v>79</v>
      </c>
      <c r="O50" s="4" t="n">
        <v>1661.58</v>
      </c>
      <c r="P50" s="5" t="n">
        <v>0.15</v>
      </c>
      <c r="Q50" s="4" t="n">
        <f aca="false">N50*O50*(1-P50)</f>
        <v>111575.097</v>
      </c>
      <c r="R50" s="4" t="n">
        <f aca="false">Q50*0.6476</f>
        <v>72256.0328172</v>
      </c>
      <c r="S50" s="4" t="n">
        <f aca="false">Q50-R50</f>
        <v>39319.0641828</v>
      </c>
      <c r="T50" s="2" t="n">
        <v>3.2</v>
      </c>
    </row>
    <row r="51" customFormat="false" ht="15" hidden="false" customHeight="false" outlineLevel="0" collapsed="false">
      <c r="A51" s="6" t="s">
        <v>207</v>
      </c>
      <c r="B51" s="7" t="n">
        <v>45184</v>
      </c>
      <c r="C51" s="7" t="n">
        <v>45188</v>
      </c>
      <c r="D51" s="6" t="s">
        <v>208</v>
      </c>
      <c r="E51" s="6" t="s">
        <v>59</v>
      </c>
      <c r="F51" s="6" t="s">
        <v>53</v>
      </c>
      <c r="G51" s="6" t="s">
        <v>191</v>
      </c>
      <c r="H51" s="6" t="s">
        <v>25</v>
      </c>
      <c r="I51" s="6" t="s">
        <v>209</v>
      </c>
      <c r="J51" s="6" t="s">
        <v>70</v>
      </c>
      <c r="K51" s="6" t="s">
        <v>55</v>
      </c>
      <c r="L51" s="6" t="s">
        <v>48</v>
      </c>
      <c r="M51" s="6" t="s">
        <v>49</v>
      </c>
      <c r="N51" s="6" t="n">
        <v>31</v>
      </c>
      <c r="O51" s="8" t="n">
        <v>1804.6</v>
      </c>
      <c r="P51" s="9" t="n">
        <v>0.15</v>
      </c>
      <c r="Q51" s="8" t="n">
        <f aca="false">N51*O51*(1-P51)</f>
        <v>47551.21</v>
      </c>
      <c r="R51" s="8" t="n">
        <f aca="false">Q51*0.6664</f>
        <v>31688.126344</v>
      </c>
      <c r="S51" s="8" t="n">
        <f aca="false">Q51-R51</f>
        <v>15863.083656</v>
      </c>
      <c r="T51" s="6"/>
    </row>
    <row r="52" customFormat="false" ht="15" hidden="false" customHeight="false" outlineLevel="0" collapsed="false">
      <c r="A52" s="2" t="s">
        <v>210</v>
      </c>
      <c r="B52" s="3" t="n">
        <v>45125</v>
      </c>
      <c r="C52" s="3" t="n">
        <v>45130</v>
      </c>
      <c r="D52" s="2" t="s">
        <v>211</v>
      </c>
      <c r="E52" s="2" t="s">
        <v>33</v>
      </c>
      <c r="F52" s="2" t="s">
        <v>34</v>
      </c>
      <c r="G52" s="2" t="s">
        <v>164</v>
      </c>
      <c r="H52" s="2" t="s">
        <v>62</v>
      </c>
      <c r="I52" s="2" t="s">
        <v>118</v>
      </c>
      <c r="J52" s="2" t="s">
        <v>76</v>
      </c>
      <c r="K52" s="2" t="s">
        <v>28</v>
      </c>
      <c r="L52" s="2" t="s">
        <v>48</v>
      </c>
      <c r="M52" s="2" t="s">
        <v>137</v>
      </c>
      <c r="N52" s="2" t="n">
        <v>59</v>
      </c>
      <c r="O52" s="4" t="n">
        <v>905.4</v>
      </c>
      <c r="P52" s="5" t="n">
        <v>0.1</v>
      </c>
      <c r="Q52" s="4" t="n">
        <f aca="false">N52*O52*(1-P52)</f>
        <v>48076.74</v>
      </c>
      <c r="R52" s="4" t="n">
        <f aca="false">Q52*0.7238</f>
        <v>34797.944412</v>
      </c>
      <c r="S52" s="4" t="n">
        <f aca="false">Q52-R52</f>
        <v>13278.795588</v>
      </c>
      <c r="T52" s="2" t="n">
        <v>3.8</v>
      </c>
    </row>
    <row r="53" customFormat="false" ht="15" hidden="false" customHeight="false" outlineLevel="0" collapsed="false">
      <c r="A53" s="6" t="s">
        <v>212</v>
      </c>
      <c r="B53" s="7" t="n">
        <v>45032</v>
      </c>
      <c r="C53" s="6"/>
      <c r="D53" s="6" t="s">
        <v>213</v>
      </c>
      <c r="E53" s="6" t="s">
        <v>91</v>
      </c>
      <c r="F53" s="6" t="s">
        <v>43</v>
      </c>
      <c r="G53" s="6" t="s">
        <v>104</v>
      </c>
      <c r="H53" s="6" t="s">
        <v>109</v>
      </c>
      <c r="I53" s="6" t="s">
        <v>110</v>
      </c>
      <c r="J53" s="6" t="s">
        <v>70</v>
      </c>
      <c r="K53" s="6" t="s">
        <v>64</v>
      </c>
      <c r="L53" s="6" t="s">
        <v>77</v>
      </c>
      <c r="M53" s="6" t="s">
        <v>114</v>
      </c>
      <c r="N53" s="6" t="n">
        <v>4</v>
      </c>
      <c r="O53" s="8" t="n">
        <v>1437.29</v>
      </c>
      <c r="P53" s="9" t="n">
        <v>0.25</v>
      </c>
      <c r="Q53" s="8" t="n">
        <f aca="false">N53*O53*(1-P53)</f>
        <v>4311.87</v>
      </c>
      <c r="R53" s="8" t="n">
        <f aca="false">Q53*0.7194</f>
        <v>3101.959278</v>
      </c>
      <c r="S53" s="8" t="n">
        <f aca="false">Q53-R53</f>
        <v>1209.910722</v>
      </c>
      <c r="T53" s="6"/>
    </row>
    <row r="54" customFormat="false" ht="15" hidden="false" customHeight="false" outlineLevel="0" collapsed="false">
      <c r="A54" s="2" t="s">
        <v>214</v>
      </c>
      <c r="B54" s="3" t="n">
        <v>45430</v>
      </c>
      <c r="C54" s="3" t="n">
        <v>45432</v>
      </c>
      <c r="D54" s="2" t="s">
        <v>215</v>
      </c>
      <c r="E54" s="2" t="s">
        <v>124</v>
      </c>
      <c r="F54" s="2" t="s">
        <v>60</v>
      </c>
      <c r="G54" s="2" t="s">
        <v>61</v>
      </c>
      <c r="H54" s="2" t="s">
        <v>62</v>
      </c>
      <c r="I54" s="2" t="s">
        <v>216</v>
      </c>
      <c r="J54" s="2" t="s">
        <v>76</v>
      </c>
      <c r="K54" s="2" t="s">
        <v>28</v>
      </c>
      <c r="L54" s="2" t="s">
        <v>29</v>
      </c>
      <c r="M54" s="2" t="s">
        <v>114</v>
      </c>
      <c r="N54" s="2" t="n">
        <v>148</v>
      </c>
      <c r="O54" s="4" t="n">
        <v>1575.47</v>
      </c>
      <c r="P54" s="5" t="n">
        <v>0</v>
      </c>
      <c r="Q54" s="4" t="n">
        <f aca="false">N54*O54*(1-P54)</f>
        <v>233169.56</v>
      </c>
      <c r="R54" s="4" t="n">
        <f aca="false">Q54*0.5686</f>
        <v>132580.211816</v>
      </c>
      <c r="S54" s="4" t="n">
        <f aca="false">Q54-R54</f>
        <v>100589.348184</v>
      </c>
      <c r="T54" s="2" t="n">
        <v>1.6</v>
      </c>
    </row>
    <row r="55" customFormat="false" ht="15" hidden="false" customHeight="false" outlineLevel="0" collapsed="false">
      <c r="A55" s="6" t="s">
        <v>217</v>
      </c>
      <c r="B55" s="7" t="n">
        <v>45316</v>
      </c>
      <c r="C55" s="7" t="n">
        <v>45324</v>
      </c>
      <c r="D55" s="6" t="s">
        <v>218</v>
      </c>
      <c r="E55" s="6" t="s">
        <v>42</v>
      </c>
      <c r="F55" s="6" t="s">
        <v>34</v>
      </c>
      <c r="G55" s="6" t="s">
        <v>74</v>
      </c>
      <c r="H55" s="6" t="s">
        <v>109</v>
      </c>
      <c r="I55" s="6" t="s">
        <v>172</v>
      </c>
      <c r="J55" s="6" t="s">
        <v>38</v>
      </c>
      <c r="K55" s="6" t="s">
        <v>55</v>
      </c>
      <c r="L55" s="6" t="s">
        <v>77</v>
      </c>
      <c r="M55" s="6" t="s">
        <v>30</v>
      </c>
      <c r="N55" s="6" t="n">
        <v>114</v>
      </c>
      <c r="O55" s="8" t="n">
        <v>746.9</v>
      </c>
      <c r="P55" s="9" t="n">
        <v>0.2</v>
      </c>
      <c r="Q55" s="8" t="n">
        <f aca="false">N55*O55*(1-P55)</f>
        <v>68117.28</v>
      </c>
      <c r="R55" s="8" t="n">
        <f aca="false">Q55*0.7444</f>
        <v>50706.503232</v>
      </c>
      <c r="S55" s="8" t="n">
        <f aca="false">Q55-R55</f>
        <v>17410.776768</v>
      </c>
      <c r="T55" s="6"/>
    </row>
    <row r="56" customFormat="false" ht="15" hidden="false" customHeight="false" outlineLevel="0" collapsed="false">
      <c r="A56" s="10" t="s">
        <v>219</v>
      </c>
      <c r="B56" s="11" t="n">
        <v>45087</v>
      </c>
      <c r="C56" s="10"/>
      <c r="D56" s="10" t="s">
        <v>220</v>
      </c>
      <c r="E56" s="10" t="s">
        <v>80</v>
      </c>
      <c r="F56" s="10" t="s">
        <v>34</v>
      </c>
      <c r="G56" s="10" t="s">
        <v>35</v>
      </c>
      <c r="H56" s="10" t="s">
        <v>36</v>
      </c>
      <c r="I56" s="10" t="s">
        <v>88</v>
      </c>
      <c r="J56" s="10" t="s">
        <v>27</v>
      </c>
      <c r="K56" s="10" t="s">
        <v>64</v>
      </c>
      <c r="L56" s="10" t="s">
        <v>48</v>
      </c>
      <c r="M56" s="10" t="s">
        <v>137</v>
      </c>
      <c r="N56" s="10" t="n">
        <v>62</v>
      </c>
      <c r="O56" s="12" t="n">
        <v>438.66</v>
      </c>
      <c r="P56" s="13" t="n">
        <v>0</v>
      </c>
      <c r="Q56" s="12" t="n">
        <f aca="false">N56*O56*(1-P56)</f>
        <v>27196.92</v>
      </c>
      <c r="R56" s="12" t="n">
        <f aca="false">Q56*0.677</f>
        <v>18412.31484</v>
      </c>
      <c r="S56" s="12" t="n">
        <f aca="false">Q56-R56</f>
        <v>8784.60516</v>
      </c>
      <c r="T56" s="10"/>
    </row>
    <row r="57" customFormat="false" ht="15" hidden="false" customHeight="false" outlineLevel="0" collapsed="false">
      <c r="A57" s="6" t="s">
        <v>221</v>
      </c>
      <c r="B57" s="7" t="n">
        <v>45646</v>
      </c>
      <c r="C57" s="7" t="n">
        <v>45660</v>
      </c>
      <c r="D57" s="6" t="s">
        <v>222</v>
      </c>
      <c r="E57" s="6" t="s">
        <v>95</v>
      </c>
      <c r="F57" s="6" t="s">
        <v>23</v>
      </c>
      <c r="G57" s="6" t="s">
        <v>156</v>
      </c>
      <c r="H57" s="6" t="s">
        <v>82</v>
      </c>
      <c r="I57" s="6" t="s">
        <v>169</v>
      </c>
      <c r="J57" s="6" t="s">
        <v>70</v>
      </c>
      <c r="K57" s="6" t="s">
        <v>28</v>
      </c>
      <c r="L57" s="6" t="s">
        <v>48</v>
      </c>
      <c r="M57" s="6" t="s">
        <v>49</v>
      </c>
      <c r="N57" s="6" t="n">
        <v>117</v>
      </c>
      <c r="O57" s="8" t="n">
        <v>182.59</v>
      </c>
      <c r="P57" s="9" t="n">
        <v>0.05</v>
      </c>
      <c r="Q57" s="8" t="n">
        <f aca="false">N57*O57*(1-P57)</f>
        <v>20294.8785</v>
      </c>
      <c r="R57" s="8" t="n">
        <f aca="false">Q57*0.6895</f>
        <v>13993.31872575</v>
      </c>
      <c r="S57" s="8" t="n">
        <f aca="false">Q57-R57</f>
        <v>6301.55977425</v>
      </c>
      <c r="T57" s="6" t="n">
        <v>4.2</v>
      </c>
    </row>
    <row r="58" customFormat="false" ht="15" hidden="false" customHeight="false" outlineLevel="0" collapsed="false">
      <c r="A58" s="10" t="s">
        <v>223</v>
      </c>
      <c r="B58" s="11" t="n">
        <v>45000</v>
      </c>
      <c r="C58" s="10"/>
      <c r="D58" s="10" t="s">
        <v>224</v>
      </c>
      <c r="E58" s="10" t="s">
        <v>91</v>
      </c>
      <c r="F58" s="10" t="s">
        <v>34</v>
      </c>
      <c r="G58" s="10" t="s">
        <v>164</v>
      </c>
      <c r="H58" s="10" t="s">
        <v>82</v>
      </c>
      <c r="I58" s="10" t="s">
        <v>83</v>
      </c>
      <c r="J58" s="10" t="s">
        <v>27</v>
      </c>
      <c r="K58" s="10" t="s">
        <v>64</v>
      </c>
      <c r="L58" s="10" t="s">
        <v>48</v>
      </c>
      <c r="M58" s="10" t="s">
        <v>56</v>
      </c>
      <c r="N58" s="10" t="n">
        <v>16</v>
      </c>
      <c r="O58" s="12" t="n">
        <v>418.98</v>
      </c>
      <c r="P58" s="13" t="n">
        <v>0.1</v>
      </c>
      <c r="Q58" s="12" t="n">
        <f aca="false">N58*O58*(1-P58)</f>
        <v>6033.312</v>
      </c>
      <c r="R58" s="12" t="n">
        <f aca="false">Q58*0.72</f>
        <v>4343.98464</v>
      </c>
      <c r="S58" s="12" t="n">
        <f aca="false">Q58-R58</f>
        <v>1689.32736</v>
      </c>
      <c r="T58" s="10"/>
    </row>
    <row r="59" customFormat="false" ht="15" hidden="false" customHeight="false" outlineLevel="0" collapsed="false">
      <c r="A59" s="6" t="s">
        <v>225</v>
      </c>
      <c r="B59" s="7" t="n">
        <v>45009</v>
      </c>
      <c r="C59" s="6"/>
      <c r="D59" s="6" t="s">
        <v>226</v>
      </c>
      <c r="E59" s="6" t="s">
        <v>33</v>
      </c>
      <c r="F59" s="6" t="s">
        <v>60</v>
      </c>
      <c r="G59" s="6" t="s">
        <v>227</v>
      </c>
      <c r="H59" s="6" t="s">
        <v>82</v>
      </c>
      <c r="I59" s="6" t="s">
        <v>105</v>
      </c>
      <c r="J59" s="6" t="s">
        <v>76</v>
      </c>
      <c r="K59" s="6" t="s">
        <v>101</v>
      </c>
      <c r="L59" s="6" t="s">
        <v>39</v>
      </c>
      <c r="M59" s="6" t="s">
        <v>114</v>
      </c>
      <c r="N59" s="6" t="n">
        <v>154</v>
      </c>
      <c r="O59" s="8" t="n">
        <v>104.45</v>
      </c>
      <c r="P59" s="9" t="n">
        <v>0.2</v>
      </c>
      <c r="Q59" s="8" t="n">
        <f aca="false">N59*O59*(1-P59)</f>
        <v>12868.24</v>
      </c>
      <c r="R59" s="8" t="n">
        <f aca="false">Q59*0.7091</f>
        <v>9124.868984</v>
      </c>
      <c r="S59" s="8" t="n">
        <f aca="false">Q59-R59</f>
        <v>3743.371016</v>
      </c>
      <c r="T59" s="6"/>
    </row>
    <row r="60" customFormat="false" ht="15" hidden="false" customHeight="false" outlineLevel="0" collapsed="false">
      <c r="A60" s="10" t="s">
        <v>228</v>
      </c>
      <c r="B60" s="11" t="n">
        <v>45517</v>
      </c>
      <c r="C60" s="10"/>
      <c r="D60" s="10" t="s">
        <v>229</v>
      </c>
      <c r="E60" s="10" t="s">
        <v>22</v>
      </c>
      <c r="F60" s="10" t="s">
        <v>34</v>
      </c>
      <c r="G60" s="10" t="s">
        <v>74</v>
      </c>
      <c r="H60" s="10" t="s">
        <v>109</v>
      </c>
      <c r="I60" s="10" t="s">
        <v>110</v>
      </c>
      <c r="J60" s="10" t="s">
        <v>38</v>
      </c>
      <c r="K60" s="10" t="s">
        <v>64</v>
      </c>
      <c r="L60" s="10" t="s">
        <v>29</v>
      </c>
      <c r="M60" s="10" t="s">
        <v>49</v>
      </c>
      <c r="N60" s="10" t="n">
        <v>11</v>
      </c>
      <c r="O60" s="12" t="n">
        <v>1908.96</v>
      </c>
      <c r="P60" s="13" t="n">
        <v>0</v>
      </c>
      <c r="Q60" s="12" t="n">
        <f aca="false">N60*O60*(1-P60)</f>
        <v>20998.56</v>
      </c>
      <c r="R60" s="12" t="n">
        <f aca="false">Q60*0.6295</f>
        <v>13218.59352</v>
      </c>
      <c r="S60" s="12" t="n">
        <f aca="false">Q60-R60</f>
        <v>7779.96648</v>
      </c>
      <c r="T60" s="10"/>
    </row>
    <row r="61" customFormat="false" ht="15" hidden="false" customHeight="false" outlineLevel="0" collapsed="false">
      <c r="A61" s="6" t="s">
        <v>230</v>
      </c>
      <c r="B61" s="7" t="n">
        <v>45408</v>
      </c>
      <c r="C61" s="6"/>
      <c r="D61" s="6" t="s">
        <v>231</v>
      </c>
      <c r="E61" s="6" t="s">
        <v>52</v>
      </c>
      <c r="F61" s="6" t="s">
        <v>34</v>
      </c>
      <c r="G61" s="6" t="s">
        <v>128</v>
      </c>
      <c r="H61" s="6" t="s">
        <v>68</v>
      </c>
      <c r="I61" s="6" t="s">
        <v>202</v>
      </c>
      <c r="J61" s="6" t="s">
        <v>76</v>
      </c>
      <c r="K61" s="6" t="s">
        <v>64</v>
      </c>
      <c r="L61" s="6" t="s">
        <v>39</v>
      </c>
      <c r="M61" s="6" t="s">
        <v>137</v>
      </c>
      <c r="N61" s="6" t="n">
        <v>90</v>
      </c>
      <c r="O61" s="8" t="n">
        <v>1023.83</v>
      </c>
      <c r="P61" s="9" t="n">
        <v>0.15</v>
      </c>
      <c r="Q61" s="8" t="n">
        <f aca="false">N61*O61*(1-P61)</f>
        <v>78322.995</v>
      </c>
      <c r="R61" s="8" t="n">
        <f aca="false">Q61*0.7436</f>
        <v>58240.979082</v>
      </c>
      <c r="S61" s="8" t="n">
        <f aca="false">Q61-R61</f>
        <v>20082.015918</v>
      </c>
      <c r="T61" s="6"/>
    </row>
    <row r="62" customFormat="false" ht="15" hidden="false" customHeight="false" outlineLevel="0" collapsed="false">
      <c r="A62" s="18" t="s">
        <v>232</v>
      </c>
      <c r="B62" s="19" t="n">
        <v>45017</v>
      </c>
      <c r="C62" s="19" t="n">
        <v>45023</v>
      </c>
      <c r="D62" s="18" t="s">
        <v>233</v>
      </c>
      <c r="E62" s="18" t="s">
        <v>124</v>
      </c>
      <c r="F62" s="18" t="s">
        <v>43</v>
      </c>
      <c r="G62" s="18" t="s">
        <v>104</v>
      </c>
      <c r="H62" s="18" t="s">
        <v>82</v>
      </c>
      <c r="I62" s="18" t="s">
        <v>234</v>
      </c>
      <c r="J62" s="18" t="s">
        <v>76</v>
      </c>
      <c r="K62" s="18" t="s">
        <v>55</v>
      </c>
      <c r="L62" s="18" t="s">
        <v>29</v>
      </c>
      <c r="M62" s="18" t="s">
        <v>114</v>
      </c>
      <c r="N62" s="18" t="n">
        <v>65</v>
      </c>
      <c r="O62" s="20" t="n">
        <v>811.57</v>
      </c>
      <c r="P62" s="21" t="n">
        <v>0.2</v>
      </c>
      <c r="Q62" s="20" t="n">
        <f aca="false">N62*O62*(1-P62)</f>
        <v>42201.64</v>
      </c>
      <c r="R62" s="20" t="n">
        <f aca="false">Q62*0.715</f>
        <v>30174.1726</v>
      </c>
      <c r="S62" s="20" t="n">
        <f aca="false">Q62-R62</f>
        <v>12027.4674</v>
      </c>
      <c r="T62" s="18"/>
    </row>
    <row r="63" customFormat="false" ht="15" hidden="false" customHeight="false" outlineLevel="0" collapsed="false">
      <c r="A63" s="6" t="s">
        <v>235</v>
      </c>
      <c r="B63" s="7" t="n">
        <v>45437</v>
      </c>
      <c r="C63" s="7" t="n">
        <v>45448</v>
      </c>
      <c r="D63" s="6" t="s">
        <v>236</v>
      </c>
      <c r="E63" s="6" t="s">
        <v>95</v>
      </c>
      <c r="F63" s="6" t="s">
        <v>23</v>
      </c>
      <c r="G63" s="6" t="s">
        <v>100</v>
      </c>
      <c r="H63" s="6" t="s">
        <v>45</v>
      </c>
      <c r="I63" s="6" t="s">
        <v>109</v>
      </c>
      <c r="J63" s="6" t="s">
        <v>76</v>
      </c>
      <c r="K63" s="6" t="s">
        <v>28</v>
      </c>
      <c r="L63" s="6" t="s">
        <v>48</v>
      </c>
      <c r="M63" s="6" t="s">
        <v>30</v>
      </c>
      <c r="N63" s="6" t="n">
        <v>114</v>
      </c>
      <c r="O63" s="8" t="n">
        <v>1901.18</v>
      </c>
      <c r="P63" s="9" t="n">
        <v>0.05</v>
      </c>
      <c r="Q63" s="8" t="n">
        <f aca="false">N63*O63*(1-P63)</f>
        <v>205897.794</v>
      </c>
      <c r="R63" s="8" t="n">
        <f aca="false">Q63*0.6489</f>
        <v>133607.0785266</v>
      </c>
      <c r="S63" s="8" t="n">
        <f aca="false">Q63-R63</f>
        <v>72290.7154734</v>
      </c>
      <c r="T63" s="6" t="n">
        <v>3.2</v>
      </c>
    </row>
    <row r="64" customFormat="false" ht="15" hidden="false" customHeight="false" outlineLevel="0" collapsed="false">
      <c r="A64" s="14" t="s">
        <v>237</v>
      </c>
      <c r="B64" s="15" t="n">
        <v>45245</v>
      </c>
      <c r="C64" s="14"/>
      <c r="D64" s="14" t="s">
        <v>238</v>
      </c>
      <c r="E64" s="14" t="s">
        <v>42</v>
      </c>
      <c r="F64" s="14" t="s">
        <v>53</v>
      </c>
      <c r="G64" s="14" t="s">
        <v>191</v>
      </c>
      <c r="H64" s="14" t="s">
        <v>25</v>
      </c>
      <c r="I64" s="14" t="s">
        <v>175</v>
      </c>
      <c r="J64" s="14" t="s">
        <v>47</v>
      </c>
      <c r="K64" s="14" t="s">
        <v>101</v>
      </c>
      <c r="L64" s="14" t="s">
        <v>77</v>
      </c>
      <c r="M64" s="14" t="s">
        <v>56</v>
      </c>
      <c r="N64" s="14" t="n">
        <v>142</v>
      </c>
      <c r="O64" s="16" t="n">
        <v>39.12</v>
      </c>
      <c r="P64" s="17" t="n">
        <v>0.2</v>
      </c>
      <c r="Q64" s="16" t="n">
        <f aca="false">N64*O64*(1-P64)</f>
        <v>4444.032</v>
      </c>
      <c r="R64" s="16" t="n">
        <f aca="false">Q64*0.6146</f>
        <v>2731.3020672</v>
      </c>
      <c r="S64" s="16" t="n">
        <f aca="false">Q64-R64</f>
        <v>1712.7299328</v>
      </c>
      <c r="T64" s="14"/>
    </row>
    <row r="65" customFormat="false" ht="15" hidden="false" customHeight="false" outlineLevel="0" collapsed="false">
      <c r="A65" s="6" t="s">
        <v>239</v>
      </c>
      <c r="B65" s="7" t="n">
        <v>45649</v>
      </c>
      <c r="C65" s="7" t="n">
        <v>45654</v>
      </c>
      <c r="D65" s="6" t="s">
        <v>240</v>
      </c>
      <c r="E65" s="6" t="s">
        <v>87</v>
      </c>
      <c r="F65" s="6" t="s">
        <v>43</v>
      </c>
      <c r="G65" s="6" t="s">
        <v>150</v>
      </c>
      <c r="H65" s="6" t="s">
        <v>82</v>
      </c>
      <c r="I65" s="6" t="s">
        <v>83</v>
      </c>
      <c r="J65" s="6" t="s">
        <v>27</v>
      </c>
      <c r="K65" s="6" t="s">
        <v>28</v>
      </c>
      <c r="L65" s="6" t="s">
        <v>48</v>
      </c>
      <c r="M65" s="6" t="s">
        <v>30</v>
      </c>
      <c r="N65" s="6" t="n">
        <v>107</v>
      </c>
      <c r="O65" s="8" t="n">
        <v>2087.64</v>
      </c>
      <c r="P65" s="9" t="n">
        <v>0.25</v>
      </c>
      <c r="Q65" s="8" t="n">
        <f aca="false">N65*O65*(1-P65)</f>
        <v>167533.11</v>
      </c>
      <c r="R65" s="8" t="n">
        <f aca="false">Q65*0.6067</f>
        <v>101642.337837</v>
      </c>
      <c r="S65" s="8" t="n">
        <f aca="false">Q65-R65</f>
        <v>65890.772163</v>
      </c>
      <c r="T65" s="6" t="n">
        <v>2.8</v>
      </c>
    </row>
    <row r="66" customFormat="false" ht="15" hidden="false" customHeight="false" outlineLevel="0" collapsed="false">
      <c r="A66" s="22" t="s">
        <v>241</v>
      </c>
      <c r="B66" s="23" t="n">
        <v>45275</v>
      </c>
      <c r="C66" s="23" t="n">
        <v>45288</v>
      </c>
      <c r="D66" s="22" t="s">
        <v>242</v>
      </c>
      <c r="E66" s="22" t="s">
        <v>91</v>
      </c>
      <c r="F66" s="22" t="s">
        <v>43</v>
      </c>
      <c r="G66" s="22" t="s">
        <v>125</v>
      </c>
      <c r="H66" s="22" t="s">
        <v>62</v>
      </c>
      <c r="I66" s="22" t="s">
        <v>132</v>
      </c>
      <c r="J66" s="22" t="s">
        <v>27</v>
      </c>
      <c r="K66" s="22" t="s">
        <v>84</v>
      </c>
      <c r="L66" s="22" t="s">
        <v>48</v>
      </c>
      <c r="M66" s="22" t="s">
        <v>114</v>
      </c>
      <c r="N66" s="22" t="n">
        <v>130</v>
      </c>
      <c r="O66" s="24" t="n">
        <v>671.6</v>
      </c>
      <c r="P66" s="25" t="n">
        <v>0</v>
      </c>
      <c r="Q66" s="24" t="n">
        <f aca="false">N66*O66*(1-P66)</f>
        <v>87308</v>
      </c>
      <c r="R66" s="24" t="n">
        <f aca="false">Q66*0.6595</f>
        <v>57579.626</v>
      </c>
      <c r="S66" s="24" t="n">
        <f aca="false">Q66-R66</f>
        <v>29728.374</v>
      </c>
      <c r="T66" s="22"/>
    </row>
    <row r="67" customFormat="false" ht="15" hidden="false" customHeight="false" outlineLevel="0" collapsed="false">
      <c r="A67" s="6" t="s">
        <v>243</v>
      </c>
      <c r="B67" s="7" t="n">
        <v>45267</v>
      </c>
      <c r="C67" s="7" t="n">
        <v>45276</v>
      </c>
      <c r="D67" s="6" t="s">
        <v>244</v>
      </c>
      <c r="E67" s="6" t="s">
        <v>108</v>
      </c>
      <c r="F67" s="6" t="s">
        <v>53</v>
      </c>
      <c r="G67" s="6" t="s">
        <v>54</v>
      </c>
      <c r="H67" s="6" t="s">
        <v>36</v>
      </c>
      <c r="I67" s="6" t="s">
        <v>245</v>
      </c>
      <c r="J67" s="6" t="s">
        <v>27</v>
      </c>
      <c r="K67" s="6" t="s">
        <v>28</v>
      </c>
      <c r="L67" s="6" t="s">
        <v>39</v>
      </c>
      <c r="M67" s="6" t="s">
        <v>49</v>
      </c>
      <c r="N67" s="6" t="n">
        <v>196</v>
      </c>
      <c r="O67" s="8" t="n">
        <v>1360.86</v>
      </c>
      <c r="P67" s="9" t="n">
        <v>0.25</v>
      </c>
      <c r="Q67" s="8" t="n">
        <f aca="false">N67*O67*(1-P67)</f>
        <v>200046.42</v>
      </c>
      <c r="R67" s="8" t="n">
        <f aca="false">Q67*0.5761</f>
        <v>115246.742562</v>
      </c>
      <c r="S67" s="8" t="n">
        <f aca="false">Q67-R67</f>
        <v>84799.677438</v>
      </c>
      <c r="T67" s="6" t="n">
        <v>4.5</v>
      </c>
    </row>
    <row r="68" customFormat="false" ht="15" hidden="false" customHeight="false" outlineLevel="0" collapsed="false">
      <c r="A68" s="2" t="s">
        <v>246</v>
      </c>
      <c r="B68" s="3" t="n">
        <v>45322</v>
      </c>
      <c r="C68" s="3" t="n">
        <v>45333</v>
      </c>
      <c r="D68" s="2" t="s">
        <v>247</v>
      </c>
      <c r="E68" s="2" t="s">
        <v>108</v>
      </c>
      <c r="F68" s="2" t="s">
        <v>43</v>
      </c>
      <c r="G68" s="2" t="s">
        <v>81</v>
      </c>
      <c r="H68" s="2" t="s">
        <v>82</v>
      </c>
      <c r="I68" s="2" t="s">
        <v>186</v>
      </c>
      <c r="J68" s="2" t="s">
        <v>76</v>
      </c>
      <c r="K68" s="2" t="s">
        <v>28</v>
      </c>
      <c r="L68" s="2" t="s">
        <v>39</v>
      </c>
      <c r="M68" s="2" t="s">
        <v>114</v>
      </c>
      <c r="N68" s="2" t="n">
        <v>167</v>
      </c>
      <c r="O68" s="4" t="n">
        <v>2452.14</v>
      </c>
      <c r="P68" s="5" t="n">
        <v>0.25</v>
      </c>
      <c r="Q68" s="4" t="n">
        <f aca="false">N68*O68*(1-P68)</f>
        <v>307130.535</v>
      </c>
      <c r="R68" s="4" t="n">
        <f aca="false">Q68*0.7205</f>
        <v>221287.5504675</v>
      </c>
      <c r="S68" s="4" t="n">
        <f aca="false">Q68-R68</f>
        <v>85842.9845325</v>
      </c>
      <c r="T68" s="2" t="n">
        <v>1.5</v>
      </c>
    </row>
    <row r="69" customFormat="false" ht="15" hidden="false" customHeight="false" outlineLevel="0" collapsed="false">
      <c r="A69" s="6" t="s">
        <v>248</v>
      </c>
      <c r="B69" s="7" t="n">
        <v>45074</v>
      </c>
      <c r="C69" s="7" t="n">
        <v>45081</v>
      </c>
      <c r="D69" s="6" t="s">
        <v>249</v>
      </c>
      <c r="E69" s="6" t="s">
        <v>108</v>
      </c>
      <c r="F69" s="6" t="s">
        <v>34</v>
      </c>
      <c r="G69" s="6" t="s">
        <v>74</v>
      </c>
      <c r="H69" s="6" t="s">
        <v>45</v>
      </c>
      <c r="I69" s="6" t="s">
        <v>157</v>
      </c>
      <c r="J69" s="6" t="s">
        <v>76</v>
      </c>
      <c r="K69" s="6" t="s">
        <v>28</v>
      </c>
      <c r="L69" s="6" t="s">
        <v>39</v>
      </c>
      <c r="M69" s="6" t="s">
        <v>137</v>
      </c>
      <c r="N69" s="6" t="n">
        <v>168</v>
      </c>
      <c r="O69" s="8" t="n">
        <v>2425.04</v>
      </c>
      <c r="P69" s="9" t="n">
        <v>0</v>
      </c>
      <c r="Q69" s="8" t="n">
        <f aca="false">N69*O69*(1-P69)</f>
        <v>407406.72</v>
      </c>
      <c r="R69" s="8" t="n">
        <f aca="false">Q69*0.7077</f>
        <v>288321.735744</v>
      </c>
      <c r="S69" s="8" t="n">
        <f aca="false">Q69-R69</f>
        <v>119084.984256</v>
      </c>
      <c r="T69" s="6" t="n">
        <v>4.1</v>
      </c>
    </row>
    <row r="70" customFormat="false" ht="15" hidden="false" customHeight="false" outlineLevel="0" collapsed="false">
      <c r="A70" s="22" t="s">
        <v>250</v>
      </c>
      <c r="B70" s="23" t="n">
        <v>45568</v>
      </c>
      <c r="C70" s="23" t="n">
        <v>45580</v>
      </c>
      <c r="D70" s="22" t="s">
        <v>251</v>
      </c>
      <c r="E70" s="22" t="s">
        <v>87</v>
      </c>
      <c r="F70" s="22" t="s">
        <v>53</v>
      </c>
      <c r="G70" s="22" t="s">
        <v>252</v>
      </c>
      <c r="H70" s="22" t="s">
        <v>36</v>
      </c>
      <c r="I70" s="22" t="s">
        <v>245</v>
      </c>
      <c r="J70" s="22" t="s">
        <v>47</v>
      </c>
      <c r="K70" s="22" t="s">
        <v>84</v>
      </c>
      <c r="L70" s="22" t="s">
        <v>39</v>
      </c>
      <c r="M70" s="22" t="s">
        <v>49</v>
      </c>
      <c r="N70" s="22" t="n">
        <v>195</v>
      </c>
      <c r="O70" s="24" t="n">
        <v>1222.43</v>
      </c>
      <c r="P70" s="25" t="n">
        <v>0</v>
      </c>
      <c r="Q70" s="24" t="n">
        <f aca="false">N70*O70*(1-P70)</f>
        <v>238373.85</v>
      </c>
      <c r="R70" s="24" t="n">
        <f aca="false">Q70*0.7288</f>
        <v>173726.86188</v>
      </c>
      <c r="S70" s="24" t="n">
        <f aca="false">Q70-R70</f>
        <v>64646.98812</v>
      </c>
      <c r="T70" s="22"/>
    </row>
    <row r="71" customFormat="false" ht="15" hidden="false" customHeight="false" outlineLevel="0" collapsed="false">
      <c r="A71" s="6" t="s">
        <v>253</v>
      </c>
      <c r="B71" s="7" t="n">
        <v>45097</v>
      </c>
      <c r="C71" s="7" t="n">
        <v>45109</v>
      </c>
      <c r="D71" s="6" t="s">
        <v>254</v>
      </c>
      <c r="E71" s="6" t="s">
        <v>73</v>
      </c>
      <c r="F71" s="6" t="s">
        <v>43</v>
      </c>
      <c r="G71" s="6" t="s">
        <v>104</v>
      </c>
      <c r="H71" s="6" t="s">
        <v>62</v>
      </c>
      <c r="I71" s="6" t="s">
        <v>216</v>
      </c>
      <c r="J71" s="6" t="s">
        <v>47</v>
      </c>
      <c r="K71" s="6" t="s">
        <v>55</v>
      </c>
      <c r="L71" s="6" t="s">
        <v>29</v>
      </c>
      <c r="M71" s="6" t="s">
        <v>114</v>
      </c>
      <c r="N71" s="6" t="n">
        <v>77</v>
      </c>
      <c r="O71" s="8" t="n">
        <v>2259.04</v>
      </c>
      <c r="P71" s="9" t="n">
        <v>0</v>
      </c>
      <c r="Q71" s="8" t="n">
        <f aca="false">N71*O71*(1-P71)</f>
        <v>173946.08</v>
      </c>
      <c r="R71" s="8" t="n">
        <f aca="false">Q71*0.7025</f>
        <v>122197.1212</v>
      </c>
      <c r="S71" s="8" t="n">
        <f aca="false">Q71-R71</f>
        <v>51748.9588</v>
      </c>
      <c r="T71" s="6"/>
    </row>
    <row r="72" customFormat="false" ht="15" hidden="false" customHeight="false" outlineLevel="0" collapsed="false">
      <c r="A72" s="2" t="s">
        <v>255</v>
      </c>
      <c r="B72" s="3" t="n">
        <v>45625</v>
      </c>
      <c r="C72" s="3" t="n">
        <v>45638</v>
      </c>
      <c r="D72" s="2" t="s">
        <v>256</v>
      </c>
      <c r="E72" s="2" t="s">
        <v>73</v>
      </c>
      <c r="F72" s="2" t="s">
        <v>23</v>
      </c>
      <c r="G72" s="2" t="s">
        <v>156</v>
      </c>
      <c r="H72" s="2" t="s">
        <v>68</v>
      </c>
      <c r="I72" s="2" t="s">
        <v>151</v>
      </c>
      <c r="J72" s="2" t="s">
        <v>27</v>
      </c>
      <c r="K72" s="2" t="s">
        <v>28</v>
      </c>
      <c r="L72" s="2" t="s">
        <v>39</v>
      </c>
      <c r="M72" s="2" t="s">
        <v>30</v>
      </c>
      <c r="N72" s="2" t="n">
        <v>47</v>
      </c>
      <c r="O72" s="4" t="n">
        <v>429.11</v>
      </c>
      <c r="P72" s="5" t="n">
        <v>0</v>
      </c>
      <c r="Q72" s="4" t="n">
        <f aca="false">N72*O72*(1-P72)</f>
        <v>20168.17</v>
      </c>
      <c r="R72" s="4" t="n">
        <f aca="false">Q72*0.5592</f>
        <v>11278.040664</v>
      </c>
      <c r="S72" s="4" t="n">
        <f aca="false">Q72-R72</f>
        <v>8890.129336</v>
      </c>
      <c r="T72" s="2" t="n">
        <v>3.5</v>
      </c>
    </row>
    <row r="73" customFormat="false" ht="15" hidden="false" customHeight="false" outlineLevel="0" collapsed="false">
      <c r="A73" s="6" t="s">
        <v>257</v>
      </c>
      <c r="B73" s="7" t="n">
        <v>45609</v>
      </c>
      <c r="C73" s="6"/>
      <c r="D73" s="6" t="s">
        <v>258</v>
      </c>
      <c r="E73" s="6" t="s">
        <v>22</v>
      </c>
      <c r="F73" s="6" t="s">
        <v>43</v>
      </c>
      <c r="G73" s="6" t="s">
        <v>125</v>
      </c>
      <c r="H73" s="6" t="s">
        <v>36</v>
      </c>
      <c r="I73" s="6" t="s">
        <v>37</v>
      </c>
      <c r="J73" s="6" t="s">
        <v>76</v>
      </c>
      <c r="K73" s="6" t="s">
        <v>64</v>
      </c>
      <c r="L73" s="6" t="s">
        <v>39</v>
      </c>
      <c r="M73" s="6" t="s">
        <v>49</v>
      </c>
      <c r="N73" s="6" t="n">
        <v>3</v>
      </c>
      <c r="O73" s="8" t="n">
        <v>2247.78</v>
      </c>
      <c r="P73" s="9" t="n">
        <v>0.25</v>
      </c>
      <c r="Q73" s="8" t="n">
        <f aca="false">N73*O73*(1-P73)</f>
        <v>5057.505</v>
      </c>
      <c r="R73" s="8" t="n">
        <f aca="false">Q73*0.6752</f>
        <v>3414.827376</v>
      </c>
      <c r="S73" s="8" t="n">
        <f aca="false">Q73-R73</f>
        <v>1642.677624</v>
      </c>
      <c r="T73" s="6"/>
    </row>
    <row r="74" customFormat="false" ht="15" hidden="false" customHeight="false" outlineLevel="0" collapsed="false">
      <c r="A74" s="2" t="s">
        <v>259</v>
      </c>
      <c r="B74" s="3" t="n">
        <v>45394</v>
      </c>
      <c r="C74" s="3" t="n">
        <v>45408</v>
      </c>
      <c r="D74" s="2" t="s">
        <v>260</v>
      </c>
      <c r="E74" s="2" t="s">
        <v>59</v>
      </c>
      <c r="F74" s="2" t="s">
        <v>34</v>
      </c>
      <c r="G74" s="2" t="s">
        <v>164</v>
      </c>
      <c r="H74" s="2" t="s">
        <v>109</v>
      </c>
      <c r="I74" s="2" t="s">
        <v>92</v>
      </c>
      <c r="J74" s="2" t="s">
        <v>38</v>
      </c>
      <c r="K74" s="2" t="s">
        <v>28</v>
      </c>
      <c r="L74" s="2" t="s">
        <v>39</v>
      </c>
      <c r="M74" s="2" t="s">
        <v>49</v>
      </c>
      <c r="N74" s="2" t="n">
        <v>78</v>
      </c>
      <c r="O74" s="4" t="n">
        <v>502.05</v>
      </c>
      <c r="P74" s="5" t="n">
        <v>0.2</v>
      </c>
      <c r="Q74" s="4" t="n">
        <f aca="false">N74*O74*(1-P74)</f>
        <v>31327.92</v>
      </c>
      <c r="R74" s="4" t="n">
        <f aca="false">Q74*0.7173</f>
        <v>22471.517016</v>
      </c>
      <c r="S74" s="4" t="n">
        <f aca="false">Q74-R74</f>
        <v>8856.402984</v>
      </c>
      <c r="T74" s="2" t="n">
        <v>1.4</v>
      </c>
    </row>
    <row r="75" customFormat="false" ht="15" hidden="false" customHeight="false" outlineLevel="0" collapsed="false">
      <c r="A75" s="6" t="s">
        <v>261</v>
      </c>
      <c r="B75" s="7" t="n">
        <v>44935</v>
      </c>
      <c r="C75" s="7" t="n">
        <v>44945</v>
      </c>
      <c r="D75" s="6" t="s">
        <v>262</v>
      </c>
      <c r="E75" s="6" t="s">
        <v>33</v>
      </c>
      <c r="F75" s="6" t="s">
        <v>60</v>
      </c>
      <c r="G75" s="6" t="s">
        <v>61</v>
      </c>
      <c r="H75" s="6" t="s">
        <v>36</v>
      </c>
      <c r="I75" s="6" t="s">
        <v>96</v>
      </c>
      <c r="J75" s="6" t="s">
        <v>70</v>
      </c>
      <c r="K75" s="6" t="s">
        <v>28</v>
      </c>
      <c r="L75" s="6" t="s">
        <v>39</v>
      </c>
      <c r="M75" s="6" t="s">
        <v>49</v>
      </c>
      <c r="N75" s="6" t="n">
        <v>176</v>
      </c>
      <c r="O75" s="8" t="n">
        <v>1946.89</v>
      </c>
      <c r="P75" s="9" t="n">
        <v>0</v>
      </c>
      <c r="Q75" s="8" t="n">
        <f aca="false">N75*O75*(1-P75)</f>
        <v>342652.64</v>
      </c>
      <c r="R75" s="8" t="n">
        <f aca="false">Q75*0.5533</f>
        <v>189589.705712</v>
      </c>
      <c r="S75" s="8" t="n">
        <f aca="false">Q75-R75</f>
        <v>153062.934288</v>
      </c>
      <c r="T75" s="6" t="n">
        <v>4.3</v>
      </c>
    </row>
    <row r="76" customFormat="false" ht="15" hidden="false" customHeight="false" outlineLevel="0" collapsed="false">
      <c r="A76" s="10" t="s">
        <v>263</v>
      </c>
      <c r="B76" s="11" t="n">
        <v>45569</v>
      </c>
      <c r="C76" s="10"/>
      <c r="D76" s="10" t="s">
        <v>264</v>
      </c>
      <c r="E76" s="10" t="s">
        <v>22</v>
      </c>
      <c r="F76" s="10" t="s">
        <v>53</v>
      </c>
      <c r="G76" s="10" t="s">
        <v>135</v>
      </c>
      <c r="H76" s="10" t="s">
        <v>36</v>
      </c>
      <c r="I76" s="10" t="s">
        <v>96</v>
      </c>
      <c r="J76" s="10" t="s">
        <v>27</v>
      </c>
      <c r="K76" s="10" t="s">
        <v>64</v>
      </c>
      <c r="L76" s="10" t="s">
        <v>77</v>
      </c>
      <c r="M76" s="10" t="s">
        <v>137</v>
      </c>
      <c r="N76" s="10" t="n">
        <v>166</v>
      </c>
      <c r="O76" s="12" t="n">
        <v>103.36</v>
      </c>
      <c r="P76" s="13" t="n">
        <v>0.25</v>
      </c>
      <c r="Q76" s="12" t="n">
        <f aca="false">N76*O76*(1-P76)</f>
        <v>12868.32</v>
      </c>
      <c r="R76" s="12" t="n">
        <f aca="false">Q76*0.7359</f>
        <v>9469.796688</v>
      </c>
      <c r="S76" s="12" t="n">
        <f aca="false">Q76-R76</f>
        <v>3398.523312</v>
      </c>
      <c r="T76" s="10"/>
    </row>
    <row r="77" customFormat="false" ht="15" hidden="false" customHeight="false" outlineLevel="0" collapsed="false">
      <c r="A77" s="6" t="s">
        <v>265</v>
      </c>
      <c r="B77" s="7" t="n">
        <v>45132</v>
      </c>
      <c r="C77" s="7" t="n">
        <v>45135</v>
      </c>
      <c r="D77" s="6" t="s">
        <v>266</v>
      </c>
      <c r="E77" s="6" t="s">
        <v>42</v>
      </c>
      <c r="F77" s="6" t="s">
        <v>34</v>
      </c>
      <c r="G77" s="6" t="s">
        <v>74</v>
      </c>
      <c r="H77" s="6" t="s">
        <v>25</v>
      </c>
      <c r="I77" s="6" t="s">
        <v>267</v>
      </c>
      <c r="J77" s="6" t="s">
        <v>70</v>
      </c>
      <c r="K77" s="6" t="s">
        <v>28</v>
      </c>
      <c r="L77" s="6" t="s">
        <v>39</v>
      </c>
      <c r="M77" s="6" t="s">
        <v>56</v>
      </c>
      <c r="N77" s="6" t="n">
        <v>139</v>
      </c>
      <c r="O77" s="8" t="n">
        <v>2191.77</v>
      </c>
      <c r="P77" s="9" t="n">
        <v>0.15</v>
      </c>
      <c r="Q77" s="8" t="n">
        <f aca="false">N77*O77*(1-P77)</f>
        <v>258957.6255</v>
      </c>
      <c r="R77" s="8" t="n">
        <f aca="false">Q77*0.5816</f>
        <v>150609.7549908</v>
      </c>
      <c r="S77" s="8" t="n">
        <f aca="false">Q77-R77</f>
        <v>108347.8705092</v>
      </c>
      <c r="T77" s="6" t="n">
        <v>3</v>
      </c>
    </row>
    <row r="78" customFormat="false" ht="15" hidden="false" customHeight="false" outlineLevel="0" collapsed="false">
      <c r="A78" s="18" t="s">
        <v>268</v>
      </c>
      <c r="B78" s="19" t="n">
        <v>45406</v>
      </c>
      <c r="C78" s="19" t="n">
        <v>45408</v>
      </c>
      <c r="D78" s="18" t="s">
        <v>269</v>
      </c>
      <c r="E78" s="18" t="s">
        <v>80</v>
      </c>
      <c r="F78" s="18" t="s">
        <v>53</v>
      </c>
      <c r="G78" s="18" t="s">
        <v>135</v>
      </c>
      <c r="H78" s="18" t="s">
        <v>68</v>
      </c>
      <c r="I78" s="18" t="s">
        <v>136</v>
      </c>
      <c r="J78" s="18" t="s">
        <v>70</v>
      </c>
      <c r="K78" s="18" t="s">
        <v>55</v>
      </c>
      <c r="L78" s="18" t="s">
        <v>48</v>
      </c>
      <c r="M78" s="18" t="s">
        <v>137</v>
      </c>
      <c r="N78" s="18" t="n">
        <v>37</v>
      </c>
      <c r="O78" s="20" t="n">
        <v>1886.61</v>
      </c>
      <c r="P78" s="21" t="n">
        <v>0.05</v>
      </c>
      <c r="Q78" s="20" t="n">
        <f aca="false">N78*O78*(1-P78)</f>
        <v>66314.3415</v>
      </c>
      <c r="R78" s="20" t="n">
        <f aca="false">Q78*0.6413</f>
        <v>42527.38720395</v>
      </c>
      <c r="S78" s="20" t="n">
        <f aca="false">Q78-R78</f>
        <v>23786.95429605</v>
      </c>
      <c r="T78" s="18"/>
    </row>
    <row r="79" customFormat="false" ht="15" hidden="false" customHeight="false" outlineLevel="0" collapsed="false">
      <c r="A79" s="6" t="s">
        <v>270</v>
      </c>
      <c r="B79" s="7" t="n">
        <v>45615</v>
      </c>
      <c r="C79" s="7" t="n">
        <v>45627</v>
      </c>
      <c r="D79" s="6" t="s">
        <v>271</v>
      </c>
      <c r="E79" s="6" t="s">
        <v>272</v>
      </c>
      <c r="F79" s="6" t="s">
        <v>34</v>
      </c>
      <c r="G79" s="6" t="s">
        <v>74</v>
      </c>
      <c r="H79" s="6" t="s">
        <v>109</v>
      </c>
      <c r="I79" s="6" t="s">
        <v>92</v>
      </c>
      <c r="J79" s="6" t="s">
        <v>70</v>
      </c>
      <c r="K79" s="6" t="s">
        <v>28</v>
      </c>
      <c r="L79" s="6" t="s">
        <v>39</v>
      </c>
      <c r="M79" s="6" t="s">
        <v>49</v>
      </c>
      <c r="N79" s="6" t="n">
        <v>173</v>
      </c>
      <c r="O79" s="8" t="n">
        <v>659.09</v>
      </c>
      <c r="P79" s="9" t="n">
        <v>0.2</v>
      </c>
      <c r="Q79" s="8" t="n">
        <f aca="false">N79*O79*(1-P79)</f>
        <v>91218.056</v>
      </c>
      <c r="R79" s="8" t="n">
        <f aca="false">Q79*0.7484</f>
        <v>68267.5931104</v>
      </c>
      <c r="S79" s="8" t="n">
        <f aca="false">Q79-R79</f>
        <v>22950.4628896</v>
      </c>
      <c r="T79" s="6" t="n">
        <v>1.4</v>
      </c>
    </row>
    <row r="80" customFormat="false" ht="15" hidden="false" customHeight="false" outlineLevel="0" collapsed="false">
      <c r="A80" s="2" t="s">
        <v>273</v>
      </c>
      <c r="B80" s="3" t="n">
        <v>45577</v>
      </c>
      <c r="C80" s="3" t="n">
        <v>45591</v>
      </c>
      <c r="D80" s="2" t="s">
        <v>274</v>
      </c>
      <c r="E80" s="2" t="s">
        <v>140</v>
      </c>
      <c r="F80" s="2" t="s">
        <v>43</v>
      </c>
      <c r="G80" s="2" t="s">
        <v>125</v>
      </c>
      <c r="H80" s="2" t="s">
        <v>109</v>
      </c>
      <c r="I80" s="2" t="s">
        <v>121</v>
      </c>
      <c r="J80" s="2" t="s">
        <v>38</v>
      </c>
      <c r="K80" s="2" t="s">
        <v>28</v>
      </c>
      <c r="L80" s="2" t="s">
        <v>77</v>
      </c>
      <c r="M80" s="2" t="s">
        <v>137</v>
      </c>
      <c r="N80" s="2" t="n">
        <v>119</v>
      </c>
      <c r="O80" s="4" t="n">
        <v>2273.92</v>
      </c>
      <c r="P80" s="5" t="n">
        <v>0.1</v>
      </c>
      <c r="Q80" s="4" t="n">
        <f aca="false">N80*O80*(1-P80)</f>
        <v>243536.832</v>
      </c>
      <c r="R80" s="4" t="n">
        <f aca="false">Q80*0.6356</f>
        <v>154792.0104192</v>
      </c>
      <c r="S80" s="4" t="n">
        <f aca="false">Q80-R80</f>
        <v>88744.8215808</v>
      </c>
      <c r="T80" s="2" t="n">
        <v>1.5</v>
      </c>
    </row>
    <row r="81" customFormat="false" ht="15" hidden="false" customHeight="false" outlineLevel="0" collapsed="false">
      <c r="A81" s="6" t="s">
        <v>275</v>
      </c>
      <c r="B81" s="7" t="n">
        <v>45391</v>
      </c>
      <c r="C81" s="7" t="n">
        <v>45397</v>
      </c>
      <c r="D81" s="6" t="s">
        <v>276</v>
      </c>
      <c r="E81" s="6" t="s">
        <v>42</v>
      </c>
      <c r="F81" s="6" t="s">
        <v>23</v>
      </c>
      <c r="G81" s="6" t="s">
        <v>24</v>
      </c>
      <c r="H81" s="6" t="s">
        <v>68</v>
      </c>
      <c r="I81" s="6" t="s">
        <v>136</v>
      </c>
      <c r="J81" s="6" t="s">
        <v>47</v>
      </c>
      <c r="K81" s="6" t="s">
        <v>28</v>
      </c>
      <c r="L81" s="6" t="s">
        <v>77</v>
      </c>
      <c r="M81" s="6" t="s">
        <v>114</v>
      </c>
      <c r="N81" s="6" t="n">
        <v>172</v>
      </c>
      <c r="O81" s="8" t="n">
        <v>2373.71</v>
      </c>
      <c r="P81" s="9" t="n">
        <v>0.2</v>
      </c>
      <c r="Q81" s="8" t="n">
        <f aca="false">N81*O81*(1-P81)</f>
        <v>326622.496</v>
      </c>
      <c r="R81" s="8" t="n">
        <f aca="false">Q81*0.7491</f>
        <v>244672.9117536</v>
      </c>
      <c r="S81" s="8" t="n">
        <f aca="false">Q81-R81</f>
        <v>81949.5842464</v>
      </c>
      <c r="T81" s="6" t="n">
        <v>4.5</v>
      </c>
    </row>
    <row r="82" customFormat="false" ht="15" hidden="false" customHeight="false" outlineLevel="0" collapsed="false">
      <c r="A82" s="10" t="s">
        <v>277</v>
      </c>
      <c r="B82" s="11" t="n">
        <v>45382</v>
      </c>
      <c r="C82" s="10"/>
      <c r="D82" s="10" t="s">
        <v>278</v>
      </c>
      <c r="E82" s="10" t="s">
        <v>124</v>
      </c>
      <c r="F82" s="10" t="s">
        <v>23</v>
      </c>
      <c r="G82" s="10" t="s">
        <v>156</v>
      </c>
      <c r="H82" s="10" t="s">
        <v>36</v>
      </c>
      <c r="I82" s="10" t="s">
        <v>245</v>
      </c>
      <c r="J82" s="10" t="s">
        <v>47</v>
      </c>
      <c r="K82" s="10" t="s">
        <v>64</v>
      </c>
      <c r="L82" s="10" t="s">
        <v>77</v>
      </c>
      <c r="M82" s="10" t="s">
        <v>114</v>
      </c>
      <c r="N82" s="10" t="n">
        <v>61</v>
      </c>
      <c r="O82" s="12" t="n">
        <v>2139.35</v>
      </c>
      <c r="P82" s="13" t="n">
        <v>0</v>
      </c>
      <c r="Q82" s="12" t="n">
        <f aca="false">N82*O82*(1-P82)</f>
        <v>130500.35</v>
      </c>
      <c r="R82" s="12" t="n">
        <f aca="false">Q82*0.7319</f>
        <v>95513.206165</v>
      </c>
      <c r="S82" s="12" t="n">
        <f aca="false">Q82-R82</f>
        <v>34987.143835</v>
      </c>
      <c r="T82" s="10"/>
    </row>
    <row r="83" customFormat="false" ht="15" hidden="false" customHeight="false" outlineLevel="0" collapsed="false">
      <c r="A83" s="6" t="s">
        <v>279</v>
      </c>
      <c r="B83" s="7" t="n">
        <v>45605</v>
      </c>
      <c r="C83" s="6"/>
      <c r="D83" s="6" t="s">
        <v>280</v>
      </c>
      <c r="E83" s="6" t="s">
        <v>124</v>
      </c>
      <c r="F83" s="6" t="s">
        <v>34</v>
      </c>
      <c r="G83" s="6" t="s">
        <v>74</v>
      </c>
      <c r="H83" s="6" t="s">
        <v>109</v>
      </c>
      <c r="I83" s="6" t="s">
        <v>92</v>
      </c>
      <c r="J83" s="6" t="s">
        <v>27</v>
      </c>
      <c r="K83" s="6" t="s">
        <v>101</v>
      </c>
      <c r="L83" s="6" t="s">
        <v>39</v>
      </c>
      <c r="M83" s="6" t="s">
        <v>137</v>
      </c>
      <c r="N83" s="6" t="n">
        <v>55</v>
      </c>
      <c r="O83" s="8" t="n">
        <v>1606.05</v>
      </c>
      <c r="P83" s="9" t="n">
        <v>0</v>
      </c>
      <c r="Q83" s="8" t="n">
        <f aca="false">N83*O83*(1-P83)</f>
        <v>88332.75</v>
      </c>
      <c r="R83" s="8" t="n">
        <f aca="false">Q83*0.7264</f>
        <v>64164.9096</v>
      </c>
      <c r="S83" s="8" t="n">
        <f aca="false">Q83-R83</f>
        <v>24167.8404</v>
      </c>
      <c r="T83" s="6"/>
    </row>
    <row r="84" customFormat="false" ht="15" hidden="false" customHeight="false" outlineLevel="0" collapsed="false">
      <c r="A84" s="18" t="s">
        <v>281</v>
      </c>
      <c r="B84" s="19" t="n">
        <v>45148</v>
      </c>
      <c r="C84" s="19" t="n">
        <v>45162</v>
      </c>
      <c r="D84" s="18" t="s">
        <v>282</v>
      </c>
      <c r="E84" s="18" t="s">
        <v>22</v>
      </c>
      <c r="F84" s="18" t="s">
        <v>53</v>
      </c>
      <c r="G84" s="18" t="s">
        <v>135</v>
      </c>
      <c r="H84" s="18" t="s">
        <v>62</v>
      </c>
      <c r="I84" s="18" t="s">
        <v>132</v>
      </c>
      <c r="J84" s="18" t="s">
        <v>47</v>
      </c>
      <c r="K84" s="18" t="s">
        <v>55</v>
      </c>
      <c r="L84" s="18" t="s">
        <v>77</v>
      </c>
      <c r="M84" s="18" t="s">
        <v>30</v>
      </c>
      <c r="N84" s="18" t="n">
        <v>60</v>
      </c>
      <c r="O84" s="20" t="n">
        <v>824.76</v>
      </c>
      <c r="P84" s="21" t="n">
        <v>0</v>
      </c>
      <c r="Q84" s="20" t="n">
        <f aca="false">N84*O84*(1-P84)</f>
        <v>49485.6</v>
      </c>
      <c r="R84" s="20" t="n">
        <f aca="false">Q84*0.6104</f>
        <v>30206.01024</v>
      </c>
      <c r="S84" s="20" t="n">
        <f aca="false">Q84-R84</f>
        <v>19279.58976</v>
      </c>
      <c r="T84" s="18"/>
    </row>
    <row r="85" customFormat="false" ht="15" hidden="false" customHeight="false" outlineLevel="0" collapsed="false">
      <c r="A85" s="6" t="s">
        <v>283</v>
      </c>
      <c r="B85" s="7" t="n">
        <v>44942</v>
      </c>
      <c r="C85" s="7" t="n">
        <v>44948</v>
      </c>
      <c r="D85" s="6" t="s">
        <v>284</v>
      </c>
      <c r="E85" s="6" t="s">
        <v>124</v>
      </c>
      <c r="F85" s="6" t="s">
        <v>53</v>
      </c>
      <c r="G85" s="6" t="s">
        <v>135</v>
      </c>
      <c r="H85" s="6" t="s">
        <v>62</v>
      </c>
      <c r="I85" s="6" t="s">
        <v>132</v>
      </c>
      <c r="J85" s="6" t="s">
        <v>27</v>
      </c>
      <c r="K85" s="6" t="s">
        <v>28</v>
      </c>
      <c r="L85" s="6" t="s">
        <v>29</v>
      </c>
      <c r="M85" s="6" t="s">
        <v>56</v>
      </c>
      <c r="N85" s="6" t="n">
        <v>61</v>
      </c>
      <c r="O85" s="8" t="n">
        <v>1474.19</v>
      </c>
      <c r="P85" s="9" t="n">
        <v>0</v>
      </c>
      <c r="Q85" s="8" t="n">
        <f aca="false">N85*O85*(1-P85)</f>
        <v>89925.59</v>
      </c>
      <c r="R85" s="8" t="n">
        <f aca="false">Q85*0.7249</f>
        <v>65187.060191</v>
      </c>
      <c r="S85" s="8" t="n">
        <f aca="false">Q85-R85</f>
        <v>24738.529809</v>
      </c>
      <c r="T85" s="6" t="n">
        <v>2.1</v>
      </c>
    </row>
    <row r="86" customFormat="false" ht="15" hidden="false" customHeight="false" outlineLevel="0" collapsed="false">
      <c r="A86" s="2" t="s">
        <v>285</v>
      </c>
      <c r="B86" s="3" t="n">
        <v>45534</v>
      </c>
      <c r="C86" s="3" t="n">
        <v>45536</v>
      </c>
      <c r="D86" s="2" t="s">
        <v>286</v>
      </c>
      <c r="E86" s="2" t="s">
        <v>33</v>
      </c>
      <c r="F86" s="2" t="s">
        <v>43</v>
      </c>
      <c r="G86" s="2" t="s">
        <v>125</v>
      </c>
      <c r="H86" s="2" t="s">
        <v>36</v>
      </c>
      <c r="I86" s="2" t="s">
        <v>88</v>
      </c>
      <c r="J86" s="2" t="s">
        <v>47</v>
      </c>
      <c r="K86" s="2" t="s">
        <v>28</v>
      </c>
      <c r="L86" s="2" t="s">
        <v>48</v>
      </c>
      <c r="M86" s="2" t="s">
        <v>30</v>
      </c>
      <c r="N86" s="2" t="n">
        <v>116</v>
      </c>
      <c r="O86" s="4" t="n">
        <v>1262.08</v>
      </c>
      <c r="P86" s="5" t="n">
        <v>0</v>
      </c>
      <c r="Q86" s="4" t="n">
        <f aca="false">N86*O86*(1-P86)</f>
        <v>146401.28</v>
      </c>
      <c r="R86" s="4" t="n">
        <f aca="false">Q86*0.7253</f>
        <v>106184.848384</v>
      </c>
      <c r="S86" s="4" t="n">
        <f aca="false">Q86-R86</f>
        <v>40216.431616</v>
      </c>
      <c r="T86" s="2" t="n">
        <v>2.2</v>
      </c>
    </row>
    <row r="87" customFormat="false" ht="15" hidden="false" customHeight="false" outlineLevel="0" collapsed="false">
      <c r="A87" s="6" t="s">
        <v>287</v>
      </c>
      <c r="B87" s="7" t="n">
        <v>45009</v>
      </c>
      <c r="C87" s="7" t="n">
        <v>45015</v>
      </c>
      <c r="D87" s="6" t="s">
        <v>288</v>
      </c>
      <c r="E87" s="6" t="s">
        <v>73</v>
      </c>
      <c r="F87" s="6" t="s">
        <v>23</v>
      </c>
      <c r="G87" s="6" t="s">
        <v>24</v>
      </c>
      <c r="H87" s="6" t="s">
        <v>82</v>
      </c>
      <c r="I87" s="6" t="s">
        <v>234</v>
      </c>
      <c r="J87" s="6" t="s">
        <v>47</v>
      </c>
      <c r="K87" s="6" t="s">
        <v>28</v>
      </c>
      <c r="L87" s="6" t="s">
        <v>39</v>
      </c>
      <c r="M87" s="6" t="s">
        <v>137</v>
      </c>
      <c r="N87" s="6" t="n">
        <v>156</v>
      </c>
      <c r="O87" s="8" t="n">
        <v>375.09</v>
      </c>
      <c r="P87" s="9" t="n">
        <v>0</v>
      </c>
      <c r="Q87" s="8" t="n">
        <f aca="false">N87*O87*(1-P87)</f>
        <v>58514.04</v>
      </c>
      <c r="R87" s="8" t="n">
        <f aca="false">Q87*0.5687</f>
        <v>33276.934548</v>
      </c>
      <c r="S87" s="8" t="n">
        <f aca="false">Q87-R87</f>
        <v>25237.105452</v>
      </c>
      <c r="T87" s="6" t="n">
        <v>3.5</v>
      </c>
    </row>
    <row r="88" customFormat="false" ht="15" hidden="false" customHeight="false" outlineLevel="0" collapsed="false">
      <c r="A88" s="2" t="s">
        <v>289</v>
      </c>
      <c r="B88" s="3" t="n">
        <v>45645</v>
      </c>
      <c r="C88" s="3" t="n">
        <v>45647</v>
      </c>
      <c r="D88" s="2" t="s">
        <v>290</v>
      </c>
      <c r="E88" s="2" t="s">
        <v>91</v>
      </c>
      <c r="F88" s="2" t="s">
        <v>34</v>
      </c>
      <c r="G88" s="2" t="s">
        <v>74</v>
      </c>
      <c r="H88" s="2" t="s">
        <v>82</v>
      </c>
      <c r="I88" s="2" t="s">
        <v>169</v>
      </c>
      <c r="J88" s="2" t="s">
        <v>70</v>
      </c>
      <c r="K88" s="2" t="s">
        <v>28</v>
      </c>
      <c r="L88" s="2" t="s">
        <v>39</v>
      </c>
      <c r="M88" s="2" t="s">
        <v>137</v>
      </c>
      <c r="N88" s="2" t="n">
        <v>168</v>
      </c>
      <c r="O88" s="4" t="n">
        <v>1629.04</v>
      </c>
      <c r="P88" s="5" t="n">
        <v>0.05</v>
      </c>
      <c r="Q88" s="4" t="n">
        <f aca="false">N88*O88*(1-P88)</f>
        <v>259994.784</v>
      </c>
      <c r="R88" s="4" t="n">
        <f aca="false">Q88*0.6221</f>
        <v>161742.7551264</v>
      </c>
      <c r="S88" s="4" t="n">
        <f aca="false">Q88-R88</f>
        <v>98252.0288736</v>
      </c>
      <c r="T88" s="2" t="n">
        <v>2.8</v>
      </c>
    </row>
    <row r="89" customFormat="false" ht="15" hidden="false" customHeight="false" outlineLevel="0" collapsed="false">
      <c r="A89" s="6" t="s">
        <v>291</v>
      </c>
      <c r="B89" s="7" t="n">
        <v>45247</v>
      </c>
      <c r="C89" s="7" t="n">
        <v>45258</v>
      </c>
      <c r="D89" s="6" t="s">
        <v>292</v>
      </c>
      <c r="E89" s="6" t="s">
        <v>73</v>
      </c>
      <c r="F89" s="6" t="s">
        <v>43</v>
      </c>
      <c r="G89" s="6" t="s">
        <v>125</v>
      </c>
      <c r="H89" s="6" t="s">
        <v>68</v>
      </c>
      <c r="I89" s="6" t="s">
        <v>136</v>
      </c>
      <c r="J89" s="6" t="s">
        <v>76</v>
      </c>
      <c r="K89" s="6" t="s">
        <v>55</v>
      </c>
      <c r="L89" s="6" t="s">
        <v>48</v>
      </c>
      <c r="M89" s="6" t="s">
        <v>114</v>
      </c>
      <c r="N89" s="6" t="n">
        <v>66</v>
      </c>
      <c r="O89" s="8" t="n">
        <v>938.88</v>
      </c>
      <c r="P89" s="9" t="n">
        <v>0</v>
      </c>
      <c r="Q89" s="8" t="n">
        <f aca="false">N89*O89*(1-P89)</f>
        <v>61966.08</v>
      </c>
      <c r="R89" s="8" t="n">
        <f aca="false">Q89*0.5665</f>
        <v>35103.78432</v>
      </c>
      <c r="S89" s="8" t="n">
        <f aca="false">Q89-R89</f>
        <v>26862.29568</v>
      </c>
      <c r="T89" s="6"/>
    </row>
    <row r="90" customFormat="false" ht="15" hidden="false" customHeight="false" outlineLevel="0" collapsed="false">
      <c r="A90" s="2" t="s">
        <v>293</v>
      </c>
      <c r="B90" s="3" t="n">
        <v>45496</v>
      </c>
      <c r="C90" s="3" t="n">
        <v>45497</v>
      </c>
      <c r="D90" s="2" t="s">
        <v>294</v>
      </c>
      <c r="E90" s="2" t="s">
        <v>42</v>
      </c>
      <c r="F90" s="2" t="s">
        <v>23</v>
      </c>
      <c r="G90" s="2" t="s">
        <v>24</v>
      </c>
      <c r="H90" s="2" t="s">
        <v>45</v>
      </c>
      <c r="I90" s="2" t="s">
        <v>157</v>
      </c>
      <c r="J90" s="2" t="s">
        <v>76</v>
      </c>
      <c r="K90" s="2" t="s">
        <v>28</v>
      </c>
      <c r="L90" s="2" t="s">
        <v>48</v>
      </c>
      <c r="M90" s="2" t="s">
        <v>56</v>
      </c>
      <c r="N90" s="2" t="n">
        <v>151</v>
      </c>
      <c r="O90" s="4" t="n">
        <v>2391.78</v>
      </c>
      <c r="P90" s="5" t="n">
        <v>0.15</v>
      </c>
      <c r="Q90" s="4" t="n">
        <f aca="false">N90*O90*(1-P90)</f>
        <v>306984.963</v>
      </c>
      <c r="R90" s="4" t="n">
        <f aca="false">Q90*0.6829</f>
        <v>209640.0312327</v>
      </c>
      <c r="S90" s="4" t="n">
        <f aca="false">Q90-R90</f>
        <v>97344.9317673</v>
      </c>
      <c r="T90" s="2" t="n">
        <v>2.6</v>
      </c>
    </row>
    <row r="91" customFormat="false" ht="15" hidden="false" customHeight="false" outlineLevel="0" collapsed="false">
      <c r="A91" s="6" t="s">
        <v>295</v>
      </c>
      <c r="B91" s="7" t="n">
        <v>45599</v>
      </c>
      <c r="C91" s="7" t="n">
        <v>45607</v>
      </c>
      <c r="D91" s="6" t="s">
        <v>296</v>
      </c>
      <c r="E91" s="6" t="s">
        <v>124</v>
      </c>
      <c r="F91" s="6" t="s">
        <v>60</v>
      </c>
      <c r="G91" s="6" t="s">
        <v>227</v>
      </c>
      <c r="H91" s="6" t="s">
        <v>68</v>
      </c>
      <c r="I91" s="6" t="s">
        <v>69</v>
      </c>
      <c r="J91" s="6" t="s">
        <v>70</v>
      </c>
      <c r="K91" s="6" t="s">
        <v>28</v>
      </c>
      <c r="L91" s="6" t="s">
        <v>77</v>
      </c>
      <c r="M91" s="6" t="s">
        <v>56</v>
      </c>
      <c r="N91" s="6" t="n">
        <v>58</v>
      </c>
      <c r="O91" s="8" t="n">
        <v>2118.95</v>
      </c>
      <c r="P91" s="9" t="n">
        <v>0.15</v>
      </c>
      <c r="Q91" s="8" t="n">
        <f aca="false">N91*O91*(1-P91)</f>
        <v>104464.235</v>
      </c>
      <c r="R91" s="8" t="n">
        <f aca="false">Q91*0.6798</f>
        <v>71014.786953</v>
      </c>
      <c r="S91" s="8" t="n">
        <f aca="false">Q91-R91</f>
        <v>33449.448047</v>
      </c>
      <c r="T91" s="6" t="n">
        <v>1.5</v>
      </c>
    </row>
    <row r="92" customFormat="false" ht="15" hidden="false" customHeight="false" outlineLevel="0" collapsed="false">
      <c r="A92" s="14" t="s">
        <v>297</v>
      </c>
      <c r="B92" s="15" t="n">
        <v>45600</v>
      </c>
      <c r="C92" s="14"/>
      <c r="D92" s="14" t="s">
        <v>298</v>
      </c>
      <c r="E92" s="14" t="s">
        <v>108</v>
      </c>
      <c r="F92" s="14" t="s">
        <v>53</v>
      </c>
      <c r="G92" s="14" t="s">
        <v>54</v>
      </c>
      <c r="H92" s="14" t="s">
        <v>62</v>
      </c>
      <c r="I92" s="14" t="s">
        <v>75</v>
      </c>
      <c r="J92" s="14" t="s">
        <v>38</v>
      </c>
      <c r="K92" s="14" t="s">
        <v>101</v>
      </c>
      <c r="L92" s="14" t="s">
        <v>29</v>
      </c>
      <c r="M92" s="14" t="s">
        <v>30</v>
      </c>
      <c r="N92" s="14" t="n">
        <v>178</v>
      </c>
      <c r="O92" s="16" t="n">
        <v>672.28</v>
      </c>
      <c r="P92" s="17" t="n">
        <v>0</v>
      </c>
      <c r="Q92" s="16" t="n">
        <f aca="false">N92*O92*(1-P92)</f>
        <v>119665.84</v>
      </c>
      <c r="R92" s="16" t="n">
        <f aca="false">Q92*0.5604</f>
        <v>67060.736736</v>
      </c>
      <c r="S92" s="16" t="n">
        <f aca="false">Q92-R92</f>
        <v>52605.103264</v>
      </c>
      <c r="T92" s="14"/>
    </row>
    <row r="93" customFormat="false" ht="15" hidden="false" customHeight="false" outlineLevel="0" collapsed="false">
      <c r="A93" s="6" t="s">
        <v>299</v>
      </c>
      <c r="B93" s="7" t="n">
        <v>45072</v>
      </c>
      <c r="C93" s="6"/>
      <c r="D93" s="6" t="s">
        <v>300</v>
      </c>
      <c r="E93" s="6" t="s">
        <v>99</v>
      </c>
      <c r="F93" s="6" t="s">
        <v>53</v>
      </c>
      <c r="G93" s="6" t="s">
        <v>252</v>
      </c>
      <c r="H93" s="6" t="s">
        <v>68</v>
      </c>
      <c r="I93" s="6" t="s">
        <v>141</v>
      </c>
      <c r="J93" s="6" t="s">
        <v>27</v>
      </c>
      <c r="K93" s="6" t="s">
        <v>64</v>
      </c>
      <c r="L93" s="6" t="s">
        <v>39</v>
      </c>
      <c r="M93" s="6" t="s">
        <v>137</v>
      </c>
      <c r="N93" s="6" t="n">
        <v>190</v>
      </c>
      <c r="O93" s="8" t="n">
        <v>1584.76</v>
      </c>
      <c r="P93" s="9" t="n">
        <v>0</v>
      </c>
      <c r="Q93" s="8" t="n">
        <f aca="false">N93*O93*(1-P93)</f>
        <v>301104.4</v>
      </c>
      <c r="R93" s="8" t="n">
        <f aca="false">Q93*0.6751</f>
        <v>203275.58044</v>
      </c>
      <c r="S93" s="8" t="n">
        <f aca="false">Q93-R93</f>
        <v>97828.81956</v>
      </c>
      <c r="T93" s="6"/>
    </row>
    <row r="94" customFormat="false" ht="15" hidden="false" customHeight="false" outlineLevel="0" collapsed="false">
      <c r="A94" s="2" t="s">
        <v>301</v>
      </c>
      <c r="B94" s="3" t="n">
        <v>45508</v>
      </c>
      <c r="C94" s="3" t="n">
        <v>45518</v>
      </c>
      <c r="D94" s="2" t="s">
        <v>302</v>
      </c>
      <c r="E94" s="2" t="s">
        <v>95</v>
      </c>
      <c r="F94" s="2" t="s">
        <v>34</v>
      </c>
      <c r="G94" s="2" t="s">
        <v>164</v>
      </c>
      <c r="H94" s="2" t="s">
        <v>82</v>
      </c>
      <c r="I94" s="2" t="s">
        <v>234</v>
      </c>
      <c r="J94" s="2" t="s">
        <v>70</v>
      </c>
      <c r="K94" s="2" t="s">
        <v>28</v>
      </c>
      <c r="L94" s="2" t="s">
        <v>48</v>
      </c>
      <c r="M94" s="2" t="s">
        <v>49</v>
      </c>
      <c r="N94" s="2" t="n">
        <v>22</v>
      </c>
      <c r="O94" s="4" t="n">
        <v>2208.94</v>
      </c>
      <c r="P94" s="5" t="n">
        <v>0</v>
      </c>
      <c r="Q94" s="4" t="n">
        <f aca="false">N94*O94*(1-P94)</f>
        <v>48596.68</v>
      </c>
      <c r="R94" s="4" t="n">
        <f aca="false">Q94*0.6952</f>
        <v>33784.411936</v>
      </c>
      <c r="S94" s="4" t="n">
        <f aca="false">Q94-R94</f>
        <v>14812.268064</v>
      </c>
      <c r="T94" s="2" t="n">
        <v>4</v>
      </c>
    </row>
    <row r="95" customFormat="false" ht="15" hidden="false" customHeight="false" outlineLevel="0" collapsed="false">
      <c r="A95" s="6" t="s">
        <v>303</v>
      </c>
      <c r="B95" s="7" t="n">
        <v>45206</v>
      </c>
      <c r="C95" s="7" t="n">
        <v>45210</v>
      </c>
      <c r="D95" s="6" t="s">
        <v>304</v>
      </c>
      <c r="E95" s="6" t="s">
        <v>95</v>
      </c>
      <c r="F95" s="6" t="s">
        <v>23</v>
      </c>
      <c r="G95" s="6" t="s">
        <v>100</v>
      </c>
      <c r="H95" s="6" t="s">
        <v>109</v>
      </c>
      <c r="I95" s="6" t="s">
        <v>305</v>
      </c>
      <c r="J95" s="6" t="s">
        <v>76</v>
      </c>
      <c r="K95" s="6" t="s">
        <v>28</v>
      </c>
      <c r="L95" s="6" t="s">
        <v>39</v>
      </c>
      <c r="M95" s="6" t="s">
        <v>114</v>
      </c>
      <c r="N95" s="6" t="n">
        <v>194</v>
      </c>
      <c r="O95" s="8" t="n">
        <v>1283.3</v>
      </c>
      <c r="P95" s="9" t="n">
        <v>0.15</v>
      </c>
      <c r="Q95" s="8" t="n">
        <f aca="false">N95*O95*(1-P95)</f>
        <v>211616.17</v>
      </c>
      <c r="R95" s="8" t="n">
        <f aca="false">Q95*0.701</f>
        <v>148342.93517</v>
      </c>
      <c r="S95" s="8" t="n">
        <f aca="false">Q95-R95</f>
        <v>63273.23483</v>
      </c>
      <c r="T95" s="6" t="n">
        <v>1.4</v>
      </c>
    </row>
    <row r="96" customFormat="false" ht="15" hidden="false" customHeight="false" outlineLevel="0" collapsed="false">
      <c r="A96" s="2" t="s">
        <v>306</v>
      </c>
      <c r="B96" s="3" t="n">
        <v>45136</v>
      </c>
      <c r="C96" s="3" t="n">
        <v>45141</v>
      </c>
      <c r="D96" s="2" t="s">
        <v>307</v>
      </c>
      <c r="E96" s="2" t="s">
        <v>272</v>
      </c>
      <c r="F96" s="2" t="s">
        <v>34</v>
      </c>
      <c r="G96" s="2" t="s">
        <v>128</v>
      </c>
      <c r="H96" s="2" t="s">
        <v>36</v>
      </c>
      <c r="I96" s="2" t="s">
        <v>96</v>
      </c>
      <c r="J96" s="2" t="s">
        <v>27</v>
      </c>
      <c r="K96" s="2" t="s">
        <v>28</v>
      </c>
      <c r="L96" s="2" t="s">
        <v>29</v>
      </c>
      <c r="M96" s="2" t="s">
        <v>137</v>
      </c>
      <c r="N96" s="2" t="n">
        <v>55</v>
      </c>
      <c r="O96" s="4" t="n">
        <v>1919.54</v>
      </c>
      <c r="P96" s="5" t="n">
        <v>0.1</v>
      </c>
      <c r="Q96" s="4" t="n">
        <f aca="false">N96*O96*(1-P96)</f>
        <v>95017.23</v>
      </c>
      <c r="R96" s="4" t="n">
        <f aca="false">Q96*0.6358</f>
        <v>60411.954834</v>
      </c>
      <c r="S96" s="4" t="n">
        <f aca="false">Q96-R96</f>
        <v>34605.275166</v>
      </c>
      <c r="T96" s="2" t="n">
        <v>2.3</v>
      </c>
    </row>
    <row r="97" customFormat="false" ht="15" hidden="false" customHeight="false" outlineLevel="0" collapsed="false">
      <c r="A97" s="6" t="s">
        <v>308</v>
      </c>
      <c r="B97" s="7" t="n">
        <v>45499</v>
      </c>
      <c r="C97" s="7" t="n">
        <v>45513</v>
      </c>
      <c r="D97" s="6" t="s">
        <v>309</v>
      </c>
      <c r="E97" s="6" t="s">
        <v>99</v>
      </c>
      <c r="F97" s="6" t="s">
        <v>23</v>
      </c>
      <c r="G97" s="6" t="s">
        <v>156</v>
      </c>
      <c r="H97" s="6" t="s">
        <v>25</v>
      </c>
      <c r="I97" s="6" t="s">
        <v>175</v>
      </c>
      <c r="J97" s="6" t="s">
        <v>27</v>
      </c>
      <c r="K97" s="6" t="s">
        <v>28</v>
      </c>
      <c r="L97" s="6" t="s">
        <v>77</v>
      </c>
      <c r="M97" s="6" t="s">
        <v>30</v>
      </c>
      <c r="N97" s="6" t="n">
        <v>172</v>
      </c>
      <c r="O97" s="8" t="n">
        <v>2016.47</v>
      </c>
      <c r="P97" s="9" t="n">
        <v>0</v>
      </c>
      <c r="Q97" s="8" t="n">
        <f aca="false">N97*O97*(1-P97)</f>
        <v>346832.84</v>
      </c>
      <c r="R97" s="8" t="n">
        <f aca="false">Q97*0.5682</f>
        <v>197070.419688</v>
      </c>
      <c r="S97" s="8" t="n">
        <f aca="false">Q97-R97</f>
        <v>149762.420312</v>
      </c>
      <c r="T97" s="6" t="n">
        <v>4.4</v>
      </c>
    </row>
    <row r="98" customFormat="false" ht="15" hidden="false" customHeight="false" outlineLevel="0" collapsed="false">
      <c r="A98" s="22" t="s">
        <v>310</v>
      </c>
      <c r="B98" s="23" t="n">
        <v>45341</v>
      </c>
      <c r="C98" s="23" t="n">
        <v>45353</v>
      </c>
      <c r="D98" s="22" t="s">
        <v>311</v>
      </c>
      <c r="E98" s="22" t="s">
        <v>140</v>
      </c>
      <c r="F98" s="22" t="s">
        <v>23</v>
      </c>
      <c r="G98" s="22" t="s">
        <v>156</v>
      </c>
      <c r="H98" s="22" t="s">
        <v>109</v>
      </c>
      <c r="I98" s="22" t="s">
        <v>92</v>
      </c>
      <c r="J98" s="22" t="s">
        <v>47</v>
      </c>
      <c r="K98" s="22" t="s">
        <v>84</v>
      </c>
      <c r="L98" s="22" t="s">
        <v>39</v>
      </c>
      <c r="M98" s="22" t="s">
        <v>30</v>
      </c>
      <c r="N98" s="22" t="n">
        <v>164</v>
      </c>
      <c r="O98" s="24" t="n">
        <v>1047.15</v>
      </c>
      <c r="P98" s="25" t="n">
        <v>0</v>
      </c>
      <c r="Q98" s="24" t="n">
        <f aca="false">N98*O98*(1-P98)</f>
        <v>171732.6</v>
      </c>
      <c r="R98" s="24" t="n">
        <f aca="false">Q98*0.569</f>
        <v>97715.8494</v>
      </c>
      <c r="S98" s="24" t="n">
        <f aca="false">Q98-R98</f>
        <v>74016.7506</v>
      </c>
      <c r="T98" s="22"/>
    </row>
    <row r="99" customFormat="false" ht="15" hidden="false" customHeight="false" outlineLevel="0" collapsed="false">
      <c r="A99" s="6" t="s">
        <v>312</v>
      </c>
      <c r="B99" s="7" t="n">
        <v>45373</v>
      </c>
      <c r="C99" s="7" t="n">
        <v>45383</v>
      </c>
      <c r="D99" s="6" t="s">
        <v>313</v>
      </c>
      <c r="E99" s="6" t="s">
        <v>95</v>
      </c>
      <c r="F99" s="6" t="s">
        <v>23</v>
      </c>
      <c r="G99" s="6" t="s">
        <v>156</v>
      </c>
      <c r="H99" s="6" t="s">
        <v>62</v>
      </c>
      <c r="I99" s="6" t="s">
        <v>132</v>
      </c>
      <c r="J99" s="6" t="s">
        <v>70</v>
      </c>
      <c r="K99" s="6" t="s">
        <v>28</v>
      </c>
      <c r="L99" s="6" t="s">
        <v>29</v>
      </c>
      <c r="M99" s="6" t="s">
        <v>56</v>
      </c>
      <c r="N99" s="6" t="n">
        <v>103</v>
      </c>
      <c r="O99" s="8" t="n">
        <v>1312.29</v>
      </c>
      <c r="P99" s="9" t="n">
        <v>0.2</v>
      </c>
      <c r="Q99" s="8" t="n">
        <f aca="false">N99*O99*(1-P99)</f>
        <v>108132.696</v>
      </c>
      <c r="R99" s="8" t="n">
        <f aca="false">Q99*0.5927</f>
        <v>64090.2489192</v>
      </c>
      <c r="S99" s="8" t="n">
        <f aca="false">Q99-R99</f>
        <v>44042.4470808</v>
      </c>
      <c r="T99" s="6" t="n">
        <v>4</v>
      </c>
    </row>
    <row r="100" customFormat="false" ht="15" hidden="false" customHeight="false" outlineLevel="0" collapsed="false">
      <c r="A100" s="10" t="s">
        <v>314</v>
      </c>
      <c r="B100" s="11" t="n">
        <v>45286</v>
      </c>
      <c r="C100" s="10"/>
      <c r="D100" s="10" t="s">
        <v>315</v>
      </c>
      <c r="E100" s="10" t="s">
        <v>42</v>
      </c>
      <c r="F100" s="10" t="s">
        <v>43</v>
      </c>
      <c r="G100" s="10" t="s">
        <v>104</v>
      </c>
      <c r="H100" s="10" t="s">
        <v>45</v>
      </c>
      <c r="I100" s="10" t="s">
        <v>92</v>
      </c>
      <c r="J100" s="10" t="s">
        <v>38</v>
      </c>
      <c r="K100" s="10" t="s">
        <v>64</v>
      </c>
      <c r="L100" s="10" t="s">
        <v>77</v>
      </c>
      <c r="M100" s="10" t="s">
        <v>49</v>
      </c>
      <c r="N100" s="10" t="n">
        <v>187</v>
      </c>
      <c r="O100" s="12" t="n">
        <v>2395.77</v>
      </c>
      <c r="P100" s="13" t="n">
        <v>0</v>
      </c>
      <c r="Q100" s="12" t="n">
        <f aca="false">N100*O100*(1-P100)</f>
        <v>448008.99</v>
      </c>
      <c r="R100" s="12" t="n">
        <f aca="false">Q100*0.5656</f>
        <v>253393.884744</v>
      </c>
      <c r="S100" s="12" t="n">
        <f aca="false">Q100-R100</f>
        <v>194615.105256</v>
      </c>
      <c r="T100" s="10"/>
    </row>
    <row r="101" customFormat="false" ht="15" hidden="false" customHeight="false" outlineLevel="0" collapsed="false">
      <c r="A101" s="6" t="s">
        <v>316</v>
      </c>
      <c r="B101" s="7" t="n">
        <v>45570</v>
      </c>
      <c r="C101" s="7" t="n">
        <v>45578</v>
      </c>
      <c r="D101" s="6" t="s">
        <v>317</v>
      </c>
      <c r="E101" s="6" t="s">
        <v>99</v>
      </c>
      <c r="F101" s="6" t="s">
        <v>23</v>
      </c>
      <c r="G101" s="6" t="s">
        <v>24</v>
      </c>
      <c r="H101" s="6" t="s">
        <v>68</v>
      </c>
      <c r="I101" s="6" t="s">
        <v>202</v>
      </c>
      <c r="J101" s="6" t="s">
        <v>38</v>
      </c>
      <c r="K101" s="6" t="s">
        <v>28</v>
      </c>
      <c r="L101" s="6" t="s">
        <v>29</v>
      </c>
      <c r="M101" s="6" t="s">
        <v>56</v>
      </c>
      <c r="N101" s="6" t="n">
        <v>119</v>
      </c>
      <c r="O101" s="8" t="n">
        <v>1887.34</v>
      </c>
      <c r="P101" s="9" t="n">
        <v>0.25</v>
      </c>
      <c r="Q101" s="8" t="n">
        <f aca="false">N101*O101*(1-P101)</f>
        <v>168445.095</v>
      </c>
      <c r="R101" s="8" t="n">
        <f aca="false">Q101*0.6687</f>
        <v>112639.2350265</v>
      </c>
      <c r="S101" s="8" t="n">
        <f aca="false">Q101-R101</f>
        <v>55805.8599735</v>
      </c>
      <c r="T101" s="6" t="n">
        <v>4.5</v>
      </c>
    </row>
    <row r="102" customFormat="false" ht="15" hidden="false" customHeight="false" outlineLevel="0" collapsed="false">
      <c r="A102" s="10" t="s">
        <v>318</v>
      </c>
      <c r="B102" s="11" t="n">
        <v>44984</v>
      </c>
      <c r="C102" s="10"/>
      <c r="D102" s="10" t="s">
        <v>319</v>
      </c>
      <c r="E102" s="10" t="s">
        <v>95</v>
      </c>
      <c r="F102" s="10" t="s">
        <v>53</v>
      </c>
      <c r="G102" s="10" t="s">
        <v>135</v>
      </c>
      <c r="H102" s="10" t="s">
        <v>82</v>
      </c>
      <c r="I102" s="10" t="s">
        <v>83</v>
      </c>
      <c r="J102" s="10" t="s">
        <v>76</v>
      </c>
      <c r="K102" s="10" t="s">
        <v>64</v>
      </c>
      <c r="L102" s="10" t="s">
        <v>48</v>
      </c>
      <c r="M102" s="10" t="s">
        <v>30</v>
      </c>
      <c r="N102" s="10" t="n">
        <v>91</v>
      </c>
      <c r="O102" s="12" t="n">
        <v>1270.81</v>
      </c>
      <c r="P102" s="13" t="n">
        <v>0.1</v>
      </c>
      <c r="Q102" s="12" t="n">
        <f aca="false">N102*O102*(1-P102)</f>
        <v>104079.339</v>
      </c>
      <c r="R102" s="12" t="n">
        <f aca="false">Q102*0.6539</f>
        <v>68057.4797721</v>
      </c>
      <c r="S102" s="12" t="n">
        <f aca="false">Q102-R102</f>
        <v>36021.8592279</v>
      </c>
      <c r="T102" s="10"/>
    </row>
    <row r="103" customFormat="false" ht="15" hidden="false" customHeight="false" outlineLevel="0" collapsed="false">
      <c r="A103" s="6" t="s">
        <v>320</v>
      </c>
      <c r="B103" s="7" t="n">
        <v>45535</v>
      </c>
      <c r="C103" s="7" t="n">
        <v>45544</v>
      </c>
      <c r="D103" s="6" t="s">
        <v>321</v>
      </c>
      <c r="E103" s="6" t="s">
        <v>108</v>
      </c>
      <c r="F103" s="6" t="s">
        <v>60</v>
      </c>
      <c r="G103" s="6" t="s">
        <v>227</v>
      </c>
      <c r="H103" s="6" t="s">
        <v>109</v>
      </c>
      <c r="I103" s="6" t="s">
        <v>305</v>
      </c>
      <c r="J103" s="6" t="s">
        <v>70</v>
      </c>
      <c r="K103" s="6" t="s">
        <v>28</v>
      </c>
      <c r="L103" s="6" t="s">
        <v>29</v>
      </c>
      <c r="M103" s="6" t="s">
        <v>30</v>
      </c>
      <c r="N103" s="6" t="n">
        <v>99</v>
      </c>
      <c r="O103" s="8" t="n">
        <v>1159.47</v>
      </c>
      <c r="P103" s="9" t="n">
        <v>0</v>
      </c>
      <c r="Q103" s="8" t="n">
        <f aca="false">N103*O103*(1-P103)</f>
        <v>114787.53</v>
      </c>
      <c r="R103" s="8" t="n">
        <f aca="false">Q103*0.639</f>
        <v>73349.23167</v>
      </c>
      <c r="S103" s="8" t="n">
        <f aca="false">Q103-R103</f>
        <v>41438.29833</v>
      </c>
      <c r="T103" s="6" t="n">
        <v>4.6</v>
      </c>
    </row>
    <row r="104" customFormat="false" ht="15" hidden="false" customHeight="false" outlineLevel="0" collapsed="false">
      <c r="A104" s="2" t="s">
        <v>322</v>
      </c>
      <c r="B104" s="3" t="n">
        <v>45032</v>
      </c>
      <c r="C104" s="3" t="n">
        <v>45045</v>
      </c>
      <c r="D104" s="2" t="s">
        <v>323</v>
      </c>
      <c r="E104" s="2" t="s">
        <v>95</v>
      </c>
      <c r="F104" s="2" t="s">
        <v>34</v>
      </c>
      <c r="G104" s="2" t="s">
        <v>164</v>
      </c>
      <c r="H104" s="2" t="s">
        <v>68</v>
      </c>
      <c r="I104" s="2" t="s">
        <v>69</v>
      </c>
      <c r="J104" s="2" t="s">
        <v>38</v>
      </c>
      <c r="K104" s="2" t="s">
        <v>28</v>
      </c>
      <c r="L104" s="2" t="s">
        <v>29</v>
      </c>
      <c r="M104" s="2" t="s">
        <v>114</v>
      </c>
      <c r="N104" s="2" t="n">
        <v>88</v>
      </c>
      <c r="O104" s="4" t="n">
        <v>2456.05</v>
      </c>
      <c r="P104" s="5" t="n">
        <v>0</v>
      </c>
      <c r="Q104" s="4" t="n">
        <f aca="false">N104*O104*(1-P104)</f>
        <v>216132.4</v>
      </c>
      <c r="R104" s="4" t="n">
        <f aca="false">Q104*0.5516</f>
        <v>119218.63184</v>
      </c>
      <c r="S104" s="4" t="n">
        <f aca="false">Q104-R104</f>
        <v>96913.76816</v>
      </c>
      <c r="T104" s="2" t="n">
        <v>3.6</v>
      </c>
    </row>
    <row r="105" customFormat="false" ht="15" hidden="false" customHeight="false" outlineLevel="0" collapsed="false">
      <c r="A105" s="6" t="s">
        <v>324</v>
      </c>
      <c r="B105" s="7" t="n">
        <v>45308</v>
      </c>
      <c r="C105" s="7" t="n">
        <v>45313</v>
      </c>
      <c r="D105" s="6" t="s">
        <v>325</v>
      </c>
      <c r="E105" s="6" t="s">
        <v>95</v>
      </c>
      <c r="F105" s="6" t="s">
        <v>23</v>
      </c>
      <c r="G105" s="6" t="s">
        <v>24</v>
      </c>
      <c r="H105" s="6" t="s">
        <v>25</v>
      </c>
      <c r="I105" s="6" t="s">
        <v>175</v>
      </c>
      <c r="J105" s="6" t="s">
        <v>38</v>
      </c>
      <c r="K105" s="6" t="s">
        <v>28</v>
      </c>
      <c r="L105" s="6" t="s">
        <v>77</v>
      </c>
      <c r="M105" s="6" t="s">
        <v>49</v>
      </c>
      <c r="N105" s="6" t="n">
        <v>100</v>
      </c>
      <c r="O105" s="8" t="n">
        <v>1024.88</v>
      </c>
      <c r="P105" s="9" t="n">
        <v>0.15</v>
      </c>
      <c r="Q105" s="8" t="n">
        <f aca="false">N105*O105*(1-P105)</f>
        <v>87114.8</v>
      </c>
      <c r="R105" s="8" t="n">
        <f aca="false">Q105*0.6187</f>
        <v>53897.92676</v>
      </c>
      <c r="S105" s="8" t="n">
        <f aca="false">Q105-R105</f>
        <v>33216.87324</v>
      </c>
      <c r="T105" s="6" t="n">
        <v>4.2</v>
      </c>
    </row>
    <row r="106" customFormat="false" ht="15" hidden="false" customHeight="false" outlineLevel="0" collapsed="false">
      <c r="A106" s="2" t="s">
        <v>326</v>
      </c>
      <c r="B106" s="3" t="n">
        <v>45010</v>
      </c>
      <c r="C106" s="3" t="n">
        <v>45020</v>
      </c>
      <c r="D106" s="2" t="s">
        <v>327</v>
      </c>
      <c r="E106" s="2" t="s">
        <v>91</v>
      </c>
      <c r="F106" s="2" t="s">
        <v>53</v>
      </c>
      <c r="G106" s="2" t="s">
        <v>117</v>
      </c>
      <c r="H106" s="2" t="s">
        <v>68</v>
      </c>
      <c r="I106" s="2" t="s">
        <v>141</v>
      </c>
      <c r="J106" s="2" t="s">
        <v>76</v>
      </c>
      <c r="K106" s="2" t="s">
        <v>28</v>
      </c>
      <c r="L106" s="2" t="s">
        <v>77</v>
      </c>
      <c r="M106" s="2" t="s">
        <v>49</v>
      </c>
      <c r="N106" s="2" t="n">
        <v>170</v>
      </c>
      <c r="O106" s="4" t="n">
        <v>357.86</v>
      </c>
      <c r="P106" s="5" t="n">
        <v>0.15</v>
      </c>
      <c r="Q106" s="4" t="n">
        <f aca="false">N106*O106*(1-P106)</f>
        <v>51710.77</v>
      </c>
      <c r="R106" s="4" t="n">
        <f aca="false">Q106*0.5741</f>
        <v>29687.153057</v>
      </c>
      <c r="S106" s="4" t="n">
        <f aca="false">Q106-R106</f>
        <v>22023.616943</v>
      </c>
      <c r="T106" s="2" t="n">
        <v>4.9</v>
      </c>
    </row>
    <row r="107" customFormat="false" ht="15" hidden="false" customHeight="false" outlineLevel="0" collapsed="false">
      <c r="A107" s="6" t="s">
        <v>328</v>
      </c>
      <c r="B107" s="7" t="n">
        <v>45613</v>
      </c>
      <c r="C107" s="7" t="n">
        <v>45625</v>
      </c>
      <c r="D107" s="6" t="s">
        <v>329</v>
      </c>
      <c r="E107" s="6" t="s">
        <v>124</v>
      </c>
      <c r="F107" s="6" t="s">
        <v>60</v>
      </c>
      <c r="G107" s="6" t="s">
        <v>113</v>
      </c>
      <c r="H107" s="6" t="s">
        <v>36</v>
      </c>
      <c r="I107" s="6" t="s">
        <v>88</v>
      </c>
      <c r="J107" s="6" t="s">
        <v>38</v>
      </c>
      <c r="K107" s="6" t="s">
        <v>28</v>
      </c>
      <c r="L107" s="6" t="s">
        <v>48</v>
      </c>
      <c r="M107" s="6" t="s">
        <v>56</v>
      </c>
      <c r="N107" s="6" t="n">
        <v>190</v>
      </c>
      <c r="O107" s="8" t="n">
        <v>2492.92</v>
      </c>
      <c r="P107" s="9" t="n">
        <v>0</v>
      </c>
      <c r="Q107" s="8" t="n">
        <f aca="false">N107*O107*(1-P107)</f>
        <v>473654.8</v>
      </c>
      <c r="R107" s="8" t="n">
        <f aca="false">Q107*0.7221</f>
        <v>342026.13108</v>
      </c>
      <c r="S107" s="8" t="n">
        <f aca="false">Q107-R107</f>
        <v>131628.66892</v>
      </c>
      <c r="T107" s="6" t="n">
        <v>3</v>
      </c>
    </row>
    <row r="108" customFormat="false" ht="15" hidden="false" customHeight="false" outlineLevel="0" collapsed="false">
      <c r="A108" s="14" t="s">
        <v>330</v>
      </c>
      <c r="B108" s="15" t="n">
        <v>45158</v>
      </c>
      <c r="C108" s="14"/>
      <c r="D108" s="14" t="s">
        <v>331</v>
      </c>
      <c r="E108" s="14" t="s">
        <v>22</v>
      </c>
      <c r="F108" s="14" t="s">
        <v>23</v>
      </c>
      <c r="G108" s="14" t="s">
        <v>156</v>
      </c>
      <c r="H108" s="14" t="s">
        <v>68</v>
      </c>
      <c r="I108" s="14" t="s">
        <v>202</v>
      </c>
      <c r="J108" s="14" t="s">
        <v>70</v>
      </c>
      <c r="K108" s="14" t="s">
        <v>101</v>
      </c>
      <c r="L108" s="14" t="s">
        <v>39</v>
      </c>
      <c r="M108" s="14" t="s">
        <v>56</v>
      </c>
      <c r="N108" s="14" t="n">
        <v>36</v>
      </c>
      <c r="O108" s="16" t="n">
        <v>391.59</v>
      </c>
      <c r="P108" s="17" t="n">
        <v>0.1</v>
      </c>
      <c r="Q108" s="16" t="n">
        <f aca="false">N108*O108*(1-P108)</f>
        <v>12687.516</v>
      </c>
      <c r="R108" s="16" t="n">
        <f aca="false">Q108*0.6888</f>
        <v>8739.1610208</v>
      </c>
      <c r="S108" s="16" t="n">
        <f aca="false">Q108-R108</f>
        <v>3948.3549792</v>
      </c>
      <c r="T108" s="14"/>
    </row>
    <row r="109" customFormat="false" ht="15" hidden="false" customHeight="false" outlineLevel="0" collapsed="false">
      <c r="A109" s="6" t="s">
        <v>332</v>
      </c>
      <c r="B109" s="7" t="n">
        <v>45093</v>
      </c>
      <c r="C109" s="7" t="n">
        <v>45096</v>
      </c>
      <c r="D109" s="6" t="s">
        <v>333</v>
      </c>
      <c r="E109" s="6" t="s">
        <v>140</v>
      </c>
      <c r="F109" s="6" t="s">
        <v>34</v>
      </c>
      <c r="G109" s="6" t="s">
        <v>35</v>
      </c>
      <c r="H109" s="6" t="s">
        <v>25</v>
      </c>
      <c r="I109" s="6" t="s">
        <v>26</v>
      </c>
      <c r="J109" s="6" t="s">
        <v>38</v>
      </c>
      <c r="K109" s="6" t="s">
        <v>28</v>
      </c>
      <c r="L109" s="6" t="s">
        <v>39</v>
      </c>
      <c r="M109" s="6" t="s">
        <v>56</v>
      </c>
      <c r="N109" s="6" t="n">
        <v>178</v>
      </c>
      <c r="O109" s="8" t="n">
        <v>1928.89</v>
      </c>
      <c r="P109" s="9" t="n">
        <v>0</v>
      </c>
      <c r="Q109" s="8" t="n">
        <f aca="false">N109*O109*(1-P109)</f>
        <v>343342.42</v>
      </c>
      <c r="R109" s="8" t="n">
        <f aca="false">Q109*0.6455</f>
        <v>221627.53211</v>
      </c>
      <c r="S109" s="8" t="n">
        <f aca="false">Q109-R109</f>
        <v>121714.88789</v>
      </c>
      <c r="T109" s="6" t="n">
        <v>1.2</v>
      </c>
    </row>
    <row r="110" customFormat="false" ht="15" hidden="false" customHeight="false" outlineLevel="0" collapsed="false">
      <c r="A110" s="2" t="s">
        <v>334</v>
      </c>
      <c r="B110" s="3" t="n">
        <v>45407</v>
      </c>
      <c r="C110" s="3" t="n">
        <v>45421</v>
      </c>
      <c r="D110" s="2" t="s">
        <v>335</v>
      </c>
      <c r="E110" s="2" t="s">
        <v>124</v>
      </c>
      <c r="F110" s="2" t="s">
        <v>53</v>
      </c>
      <c r="G110" s="2" t="s">
        <v>135</v>
      </c>
      <c r="H110" s="2" t="s">
        <v>82</v>
      </c>
      <c r="I110" s="2" t="s">
        <v>169</v>
      </c>
      <c r="J110" s="2" t="s">
        <v>76</v>
      </c>
      <c r="K110" s="2" t="s">
        <v>28</v>
      </c>
      <c r="L110" s="2" t="s">
        <v>77</v>
      </c>
      <c r="M110" s="2" t="s">
        <v>49</v>
      </c>
      <c r="N110" s="2" t="n">
        <v>50</v>
      </c>
      <c r="O110" s="4" t="n">
        <v>922.76</v>
      </c>
      <c r="P110" s="5" t="n">
        <v>0.25</v>
      </c>
      <c r="Q110" s="4" t="n">
        <f aca="false">N110*O110*(1-P110)</f>
        <v>34603.5</v>
      </c>
      <c r="R110" s="4" t="n">
        <f aca="false">Q110*0.5958</f>
        <v>20616.7653</v>
      </c>
      <c r="S110" s="4" t="n">
        <f aca="false">Q110-R110</f>
        <v>13986.7347</v>
      </c>
      <c r="T110" s="2" t="n">
        <v>4.1</v>
      </c>
    </row>
    <row r="111" customFormat="false" ht="15" hidden="false" customHeight="false" outlineLevel="0" collapsed="false">
      <c r="A111" s="6" t="s">
        <v>336</v>
      </c>
      <c r="B111" s="7" t="n">
        <v>45583</v>
      </c>
      <c r="C111" s="7" t="n">
        <v>45591</v>
      </c>
      <c r="D111" s="6" t="s">
        <v>337</v>
      </c>
      <c r="E111" s="6" t="s">
        <v>80</v>
      </c>
      <c r="F111" s="6" t="s">
        <v>60</v>
      </c>
      <c r="G111" s="6" t="s">
        <v>67</v>
      </c>
      <c r="H111" s="6" t="s">
        <v>62</v>
      </c>
      <c r="I111" s="6" t="s">
        <v>118</v>
      </c>
      <c r="J111" s="6" t="s">
        <v>38</v>
      </c>
      <c r="K111" s="6" t="s">
        <v>28</v>
      </c>
      <c r="L111" s="6" t="s">
        <v>48</v>
      </c>
      <c r="M111" s="6" t="s">
        <v>137</v>
      </c>
      <c r="N111" s="6" t="n">
        <v>96</v>
      </c>
      <c r="O111" s="8" t="n">
        <v>1388.58</v>
      </c>
      <c r="P111" s="9" t="n">
        <v>0</v>
      </c>
      <c r="Q111" s="8" t="n">
        <f aca="false">N111*O111*(1-P111)</f>
        <v>133303.68</v>
      </c>
      <c r="R111" s="8" t="n">
        <f aca="false">Q111*0.5679</f>
        <v>75703.159872</v>
      </c>
      <c r="S111" s="8" t="n">
        <f aca="false">Q111-R111</f>
        <v>57600.520128</v>
      </c>
      <c r="T111" s="6" t="n">
        <v>4.4</v>
      </c>
    </row>
    <row r="112" customFormat="false" ht="15" hidden="false" customHeight="false" outlineLevel="0" collapsed="false">
      <c r="A112" s="22" t="s">
        <v>338</v>
      </c>
      <c r="B112" s="23" t="n">
        <v>45020</v>
      </c>
      <c r="C112" s="23" t="n">
        <v>45024</v>
      </c>
      <c r="D112" s="22" t="s">
        <v>181</v>
      </c>
      <c r="E112" s="22" t="s">
        <v>124</v>
      </c>
      <c r="F112" s="22" t="s">
        <v>53</v>
      </c>
      <c r="G112" s="22" t="s">
        <v>117</v>
      </c>
      <c r="H112" s="22" t="s">
        <v>45</v>
      </c>
      <c r="I112" s="22" t="s">
        <v>92</v>
      </c>
      <c r="J112" s="22" t="s">
        <v>76</v>
      </c>
      <c r="K112" s="22" t="s">
        <v>84</v>
      </c>
      <c r="L112" s="22" t="s">
        <v>77</v>
      </c>
      <c r="M112" s="22" t="s">
        <v>114</v>
      </c>
      <c r="N112" s="22" t="n">
        <v>116</v>
      </c>
      <c r="O112" s="24" t="n">
        <v>2212.15</v>
      </c>
      <c r="P112" s="25" t="n">
        <v>0</v>
      </c>
      <c r="Q112" s="24" t="n">
        <f aca="false">N112*O112*(1-P112)</f>
        <v>256609.4</v>
      </c>
      <c r="R112" s="24" t="n">
        <f aca="false">Q112*0.7112</f>
        <v>182500.60528</v>
      </c>
      <c r="S112" s="24" t="n">
        <f aca="false">Q112-R112</f>
        <v>74108.79472</v>
      </c>
      <c r="T112" s="22"/>
    </row>
    <row r="113" customFormat="false" ht="15" hidden="false" customHeight="false" outlineLevel="0" collapsed="false">
      <c r="A113" s="6" t="s">
        <v>339</v>
      </c>
      <c r="B113" s="7" t="n">
        <v>44955</v>
      </c>
      <c r="C113" s="6"/>
      <c r="D113" s="6" t="s">
        <v>340</v>
      </c>
      <c r="E113" s="6" t="s">
        <v>22</v>
      </c>
      <c r="F113" s="6" t="s">
        <v>23</v>
      </c>
      <c r="G113" s="6" t="s">
        <v>156</v>
      </c>
      <c r="H113" s="6" t="s">
        <v>36</v>
      </c>
      <c r="I113" s="6" t="s">
        <v>96</v>
      </c>
      <c r="J113" s="6" t="s">
        <v>76</v>
      </c>
      <c r="K113" s="6" t="s">
        <v>101</v>
      </c>
      <c r="L113" s="6" t="s">
        <v>48</v>
      </c>
      <c r="M113" s="6" t="s">
        <v>56</v>
      </c>
      <c r="N113" s="6" t="n">
        <v>82</v>
      </c>
      <c r="O113" s="8" t="n">
        <v>2327.41</v>
      </c>
      <c r="P113" s="9" t="n">
        <v>0.15</v>
      </c>
      <c r="Q113" s="8" t="n">
        <f aca="false">N113*O113*(1-P113)</f>
        <v>162220.477</v>
      </c>
      <c r="R113" s="8" t="n">
        <f aca="false">Q113*0.5706</f>
        <v>92563.0041762</v>
      </c>
      <c r="S113" s="8" t="n">
        <f aca="false">Q113-R113</f>
        <v>69657.4728238</v>
      </c>
      <c r="T113" s="6"/>
    </row>
    <row r="114" customFormat="false" ht="15" hidden="false" customHeight="false" outlineLevel="0" collapsed="false">
      <c r="A114" s="18" t="s">
        <v>341</v>
      </c>
      <c r="B114" s="19" t="n">
        <v>45557</v>
      </c>
      <c r="C114" s="19" t="n">
        <v>45558</v>
      </c>
      <c r="D114" s="18" t="s">
        <v>342</v>
      </c>
      <c r="E114" s="18" t="s">
        <v>33</v>
      </c>
      <c r="F114" s="18" t="s">
        <v>43</v>
      </c>
      <c r="G114" s="18" t="s">
        <v>150</v>
      </c>
      <c r="H114" s="18" t="s">
        <v>68</v>
      </c>
      <c r="I114" s="18" t="s">
        <v>136</v>
      </c>
      <c r="J114" s="18" t="s">
        <v>27</v>
      </c>
      <c r="K114" s="18" t="s">
        <v>55</v>
      </c>
      <c r="L114" s="18" t="s">
        <v>39</v>
      </c>
      <c r="M114" s="18" t="s">
        <v>114</v>
      </c>
      <c r="N114" s="18" t="n">
        <v>21</v>
      </c>
      <c r="O114" s="20" t="n">
        <v>52.41</v>
      </c>
      <c r="P114" s="21" t="n">
        <v>0.05</v>
      </c>
      <c r="Q114" s="20" t="n">
        <f aca="false">N114*O114*(1-P114)</f>
        <v>1045.5795</v>
      </c>
      <c r="R114" s="20" t="n">
        <f aca="false">Q114*0.6235</f>
        <v>651.91881825</v>
      </c>
      <c r="S114" s="20" t="n">
        <f aca="false">Q114-R114</f>
        <v>393.66068175</v>
      </c>
      <c r="T114" s="18"/>
    </row>
    <row r="115" customFormat="false" ht="15" hidden="false" customHeight="false" outlineLevel="0" collapsed="false">
      <c r="A115" s="6" t="s">
        <v>343</v>
      </c>
      <c r="B115" s="7" t="n">
        <v>45581</v>
      </c>
      <c r="C115" s="7" t="n">
        <v>45594</v>
      </c>
      <c r="D115" s="6" t="s">
        <v>344</v>
      </c>
      <c r="E115" s="6" t="s">
        <v>22</v>
      </c>
      <c r="F115" s="6" t="s">
        <v>34</v>
      </c>
      <c r="G115" s="6" t="s">
        <v>128</v>
      </c>
      <c r="H115" s="6" t="s">
        <v>109</v>
      </c>
      <c r="I115" s="6" t="s">
        <v>305</v>
      </c>
      <c r="J115" s="6" t="s">
        <v>70</v>
      </c>
      <c r="K115" s="6" t="s">
        <v>28</v>
      </c>
      <c r="L115" s="6" t="s">
        <v>77</v>
      </c>
      <c r="M115" s="6" t="s">
        <v>114</v>
      </c>
      <c r="N115" s="6" t="n">
        <v>160</v>
      </c>
      <c r="O115" s="8" t="n">
        <v>1145.5</v>
      </c>
      <c r="P115" s="9" t="n">
        <v>0</v>
      </c>
      <c r="Q115" s="8" t="n">
        <f aca="false">N115*O115*(1-P115)</f>
        <v>183280</v>
      </c>
      <c r="R115" s="8" t="n">
        <f aca="false">Q115*0.6099</f>
        <v>111782.472</v>
      </c>
      <c r="S115" s="8" t="n">
        <f aca="false">Q115-R115</f>
        <v>71497.528</v>
      </c>
      <c r="T115" s="6" t="n">
        <v>3.4</v>
      </c>
    </row>
    <row r="116" customFormat="false" ht="15" hidden="false" customHeight="false" outlineLevel="0" collapsed="false">
      <c r="A116" s="2" t="s">
        <v>345</v>
      </c>
      <c r="B116" s="3" t="n">
        <v>45288</v>
      </c>
      <c r="C116" s="3" t="n">
        <v>45292</v>
      </c>
      <c r="D116" s="2" t="s">
        <v>346</v>
      </c>
      <c r="E116" s="2" t="s">
        <v>22</v>
      </c>
      <c r="F116" s="2" t="s">
        <v>23</v>
      </c>
      <c r="G116" s="2" t="s">
        <v>100</v>
      </c>
      <c r="H116" s="2" t="s">
        <v>36</v>
      </c>
      <c r="I116" s="2" t="s">
        <v>129</v>
      </c>
      <c r="J116" s="2" t="s">
        <v>27</v>
      </c>
      <c r="K116" s="2" t="s">
        <v>28</v>
      </c>
      <c r="L116" s="2" t="s">
        <v>29</v>
      </c>
      <c r="M116" s="2" t="s">
        <v>30</v>
      </c>
      <c r="N116" s="2" t="n">
        <v>147</v>
      </c>
      <c r="O116" s="4" t="n">
        <v>1044.34</v>
      </c>
      <c r="P116" s="5" t="n">
        <v>0</v>
      </c>
      <c r="Q116" s="4" t="n">
        <f aca="false">N116*O116*(1-P116)</f>
        <v>153517.98</v>
      </c>
      <c r="R116" s="4" t="n">
        <f aca="false">Q116*0.6265</f>
        <v>96179.01447</v>
      </c>
      <c r="S116" s="4" t="n">
        <f aca="false">Q116-R116</f>
        <v>57338.96553</v>
      </c>
      <c r="T116" s="2" t="n">
        <v>4.9</v>
      </c>
    </row>
    <row r="117" customFormat="false" ht="15" hidden="false" customHeight="false" outlineLevel="0" collapsed="false">
      <c r="A117" s="6" t="s">
        <v>347</v>
      </c>
      <c r="B117" s="7" t="n">
        <v>44971</v>
      </c>
      <c r="C117" s="6"/>
      <c r="D117" s="6" t="s">
        <v>348</v>
      </c>
      <c r="E117" s="6" t="s">
        <v>80</v>
      </c>
      <c r="F117" s="6" t="s">
        <v>23</v>
      </c>
      <c r="G117" s="6" t="s">
        <v>100</v>
      </c>
      <c r="H117" s="6" t="s">
        <v>36</v>
      </c>
      <c r="I117" s="6" t="s">
        <v>129</v>
      </c>
      <c r="J117" s="6" t="s">
        <v>38</v>
      </c>
      <c r="K117" s="6" t="s">
        <v>64</v>
      </c>
      <c r="L117" s="6" t="s">
        <v>39</v>
      </c>
      <c r="M117" s="6" t="s">
        <v>114</v>
      </c>
      <c r="N117" s="6" t="n">
        <v>163</v>
      </c>
      <c r="O117" s="8" t="n">
        <v>970.27</v>
      </c>
      <c r="P117" s="9" t="n">
        <v>0.15</v>
      </c>
      <c r="Q117" s="8" t="n">
        <f aca="false">N117*O117*(1-P117)</f>
        <v>134430.9085</v>
      </c>
      <c r="R117" s="8" t="n">
        <f aca="false">Q117*0.7127</f>
        <v>95808.90848795</v>
      </c>
      <c r="S117" s="8" t="n">
        <f aca="false">Q117-R117</f>
        <v>38622.00001205</v>
      </c>
      <c r="T117" s="6"/>
    </row>
    <row r="118" customFormat="false" ht="15" hidden="false" customHeight="false" outlineLevel="0" collapsed="false">
      <c r="A118" s="18" t="s">
        <v>349</v>
      </c>
      <c r="B118" s="19" t="n">
        <v>45267</v>
      </c>
      <c r="C118" s="19" t="n">
        <v>45270</v>
      </c>
      <c r="D118" s="18" t="s">
        <v>350</v>
      </c>
      <c r="E118" s="18" t="s">
        <v>59</v>
      </c>
      <c r="F118" s="18" t="s">
        <v>23</v>
      </c>
      <c r="G118" s="18" t="s">
        <v>156</v>
      </c>
      <c r="H118" s="18" t="s">
        <v>45</v>
      </c>
      <c r="I118" s="18" t="s">
        <v>157</v>
      </c>
      <c r="J118" s="18" t="s">
        <v>27</v>
      </c>
      <c r="K118" s="18" t="s">
        <v>55</v>
      </c>
      <c r="L118" s="18" t="s">
        <v>29</v>
      </c>
      <c r="M118" s="18" t="s">
        <v>30</v>
      </c>
      <c r="N118" s="18" t="n">
        <v>12</v>
      </c>
      <c r="O118" s="20" t="n">
        <v>883.99</v>
      </c>
      <c r="P118" s="21" t="n">
        <v>0.15</v>
      </c>
      <c r="Q118" s="20" t="n">
        <f aca="false">N118*O118*(1-P118)</f>
        <v>9016.698</v>
      </c>
      <c r="R118" s="20" t="n">
        <f aca="false">Q118*0.7249</f>
        <v>6536.2043802</v>
      </c>
      <c r="S118" s="20" t="n">
        <f aca="false">Q118-R118</f>
        <v>2480.4936198</v>
      </c>
      <c r="T118" s="18"/>
    </row>
    <row r="119" customFormat="false" ht="15" hidden="false" customHeight="false" outlineLevel="0" collapsed="false">
      <c r="A119" s="6" t="s">
        <v>351</v>
      </c>
      <c r="B119" s="7" t="n">
        <v>45227</v>
      </c>
      <c r="C119" s="7" t="n">
        <v>45231</v>
      </c>
      <c r="D119" s="6" t="s">
        <v>352</v>
      </c>
      <c r="E119" s="6" t="s">
        <v>80</v>
      </c>
      <c r="F119" s="6" t="s">
        <v>60</v>
      </c>
      <c r="G119" s="6" t="s">
        <v>67</v>
      </c>
      <c r="H119" s="6" t="s">
        <v>25</v>
      </c>
      <c r="I119" s="6" t="s">
        <v>267</v>
      </c>
      <c r="J119" s="6" t="s">
        <v>27</v>
      </c>
      <c r="K119" s="6" t="s">
        <v>28</v>
      </c>
      <c r="L119" s="6" t="s">
        <v>39</v>
      </c>
      <c r="M119" s="6" t="s">
        <v>137</v>
      </c>
      <c r="N119" s="6" t="n">
        <v>12</v>
      </c>
      <c r="O119" s="8" t="n">
        <v>1978.82</v>
      </c>
      <c r="P119" s="9" t="n">
        <v>0</v>
      </c>
      <c r="Q119" s="8" t="n">
        <f aca="false">N119*O119*(1-P119)</f>
        <v>23745.84</v>
      </c>
      <c r="R119" s="8" t="n">
        <f aca="false">Q119*0.6783</f>
        <v>16106.803272</v>
      </c>
      <c r="S119" s="8" t="n">
        <f aca="false">Q119-R119</f>
        <v>7639.036728</v>
      </c>
      <c r="T119" s="6" t="n">
        <v>4.7</v>
      </c>
    </row>
    <row r="120" customFormat="false" ht="15" hidden="false" customHeight="false" outlineLevel="0" collapsed="false">
      <c r="A120" s="2" t="s">
        <v>353</v>
      </c>
      <c r="B120" s="3" t="n">
        <v>45292</v>
      </c>
      <c r="C120" s="3" t="n">
        <v>45306</v>
      </c>
      <c r="D120" s="2" t="s">
        <v>354</v>
      </c>
      <c r="E120" s="2" t="s">
        <v>95</v>
      </c>
      <c r="F120" s="2" t="s">
        <v>34</v>
      </c>
      <c r="G120" s="2" t="s">
        <v>128</v>
      </c>
      <c r="H120" s="2" t="s">
        <v>45</v>
      </c>
      <c r="I120" s="2" t="s">
        <v>109</v>
      </c>
      <c r="J120" s="2" t="s">
        <v>70</v>
      </c>
      <c r="K120" s="2" t="s">
        <v>28</v>
      </c>
      <c r="L120" s="2" t="s">
        <v>77</v>
      </c>
      <c r="M120" s="2" t="s">
        <v>49</v>
      </c>
      <c r="N120" s="2" t="n">
        <v>200</v>
      </c>
      <c r="O120" s="4" t="n">
        <v>124.27</v>
      </c>
      <c r="P120" s="5" t="n">
        <v>0.15</v>
      </c>
      <c r="Q120" s="4" t="n">
        <f aca="false">N120*O120*(1-P120)</f>
        <v>21125.9</v>
      </c>
      <c r="R120" s="4" t="n">
        <f aca="false">Q120*0.6854</f>
        <v>14479.69186</v>
      </c>
      <c r="S120" s="4" t="n">
        <f aca="false">Q120-R120</f>
        <v>6646.20814</v>
      </c>
      <c r="T120" s="2" t="n">
        <v>1.5</v>
      </c>
    </row>
    <row r="121" customFormat="false" ht="15" hidden="false" customHeight="false" outlineLevel="0" collapsed="false">
      <c r="A121" s="6" t="s">
        <v>355</v>
      </c>
      <c r="B121" s="7" t="n">
        <v>45635</v>
      </c>
      <c r="C121" s="7" t="n">
        <v>45643</v>
      </c>
      <c r="D121" s="6" t="s">
        <v>356</v>
      </c>
      <c r="E121" s="6" t="s">
        <v>140</v>
      </c>
      <c r="F121" s="6" t="s">
        <v>53</v>
      </c>
      <c r="G121" s="6" t="s">
        <v>191</v>
      </c>
      <c r="H121" s="6" t="s">
        <v>82</v>
      </c>
      <c r="I121" s="6" t="s">
        <v>234</v>
      </c>
      <c r="J121" s="6" t="s">
        <v>76</v>
      </c>
      <c r="K121" s="6" t="s">
        <v>28</v>
      </c>
      <c r="L121" s="6" t="s">
        <v>77</v>
      </c>
      <c r="M121" s="6" t="s">
        <v>114</v>
      </c>
      <c r="N121" s="6" t="n">
        <v>95</v>
      </c>
      <c r="O121" s="8" t="n">
        <v>2311.15</v>
      </c>
      <c r="P121" s="9" t="n">
        <v>0.1</v>
      </c>
      <c r="Q121" s="8" t="n">
        <f aca="false">N121*O121*(1-P121)</f>
        <v>197603.325</v>
      </c>
      <c r="R121" s="8" t="n">
        <f aca="false">Q121*0.5637</f>
        <v>111388.9943025</v>
      </c>
      <c r="S121" s="8" t="n">
        <f aca="false">Q121-R121</f>
        <v>86214.3306975</v>
      </c>
      <c r="T121" s="6" t="n">
        <v>3.9</v>
      </c>
    </row>
    <row r="122" customFormat="false" ht="15" hidden="false" customHeight="false" outlineLevel="0" collapsed="false">
      <c r="A122" s="2" t="s">
        <v>357</v>
      </c>
      <c r="B122" s="3" t="n">
        <v>45603</v>
      </c>
      <c r="C122" s="3" t="n">
        <v>45608</v>
      </c>
      <c r="D122" s="2" t="s">
        <v>358</v>
      </c>
      <c r="E122" s="2" t="s">
        <v>91</v>
      </c>
      <c r="F122" s="2" t="s">
        <v>23</v>
      </c>
      <c r="G122" s="2" t="s">
        <v>156</v>
      </c>
      <c r="H122" s="2" t="s">
        <v>36</v>
      </c>
      <c r="I122" s="2" t="s">
        <v>37</v>
      </c>
      <c r="J122" s="2" t="s">
        <v>70</v>
      </c>
      <c r="K122" s="2" t="s">
        <v>28</v>
      </c>
      <c r="L122" s="2" t="s">
        <v>29</v>
      </c>
      <c r="M122" s="2" t="s">
        <v>49</v>
      </c>
      <c r="N122" s="2" t="n">
        <v>79</v>
      </c>
      <c r="O122" s="4" t="n">
        <v>1117.56</v>
      </c>
      <c r="P122" s="5" t="n">
        <v>0.2</v>
      </c>
      <c r="Q122" s="4" t="n">
        <f aca="false">N122*O122*(1-P122)</f>
        <v>70629.792</v>
      </c>
      <c r="R122" s="4" t="n">
        <f aca="false">Q122*0.6627</f>
        <v>46806.3631584</v>
      </c>
      <c r="S122" s="4" t="n">
        <f aca="false">Q122-R122</f>
        <v>23823.4288416</v>
      </c>
      <c r="T122" s="2" t="n">
        <v>3.8</v>
      </c>
    </row>
    <row r="123" customFormat="false" ht="15" hidden="false" customHeight="false" outlineLevel="0" collapsed="false">
      <c r="A123" s="6" t="s">
        <v>359</v>
      </c>
      <c r="B123" s="7" t="n">
        <v>45614</v>
      </c>
      <c r="C123" s="7" t="n">
        <v>45625</v>
      </c>
      <c r="D123" s="6" t="s">
        <v>360</v>
      </c>
      <c r="E123" s="6" t="s">
        <v>52</v>
      </c>
      <c r="F123" s="6" t="s">
        <v>53</v>
      </c>
      <c r="G123" s="6" t="s">
        <v>191</v>
      </c>
      <c r="H123" s="6" t="s">
        <v>109</v>
      </c>
      <c r="I123" s="6" t="s">
        <v>305</v>
      </c>
      <c r="J123" s="6" t="s">
        <v>76</v>
      </c>
      <c r="K123" s="6" t="s">
        <v>28</v>
      </c>
      <c r="L123" s="6" t="s">
        <v>29</v>
      </c>
      <c r="M123" s="6" t="s">
        <v>137</v>
      </c>
      <c r="N123" s="6" t="n">
        <v>104</v>
      </c>
      <c r="O123" s="8" t="n">
        <v>911.46</v>
      </c>
      <c r="P123" s="9" t="n">
        <v>0</v>
      </c>
      <c r="Q123" s="8" t="n">
        <f aca="false">N123*O123*(1-P123)</f>
        <v>94791.84</v>
      </c>
      <c r="R123" s="8" t="n">
        <f aca="false">Q123*0.6721</f>
        <v>63709.595664</v>
      </c>
      <c r="S123" s="8" t="n">
        <f aca="false">Q123-R123</f>
        <v>31082.244336</v>
      </c>
      <c r="T123" s="6" t="n">
        <v>1.6</v>
      </c>
    </row>
    <row r="124" customFormat="false" ht="15" hidden="false" customHeight="false" outlineLevel="0" collapsed="false">
      <c r="A124" s="18" t="s">
        <v>361</v>
      </c>
      <c r="B124" s="19" t="n">
        <v>45319</v>
      </c>
      <c r="C124" s="19" t="n">
        <v>45329</v>
      </c>
      <c r="D124" s="18" t="s">
        <v>362</v>
      </c>
      <c r="E124" s="18" t="s">
        <v>42</v>
      </c>
      <c r="F124" s="18" t="s">
        <v>34</v>
      </c>
      <c r="G124" s="18" t="s">
        <v>128</v>
      </c>
      <c r="H124" s="18" t="s">
        <v>109</v>
      </c>
      <c r="I124" s="18" t="s">
        <v>172</v>
      </c>
      <c r="J124" s="18" t="s">
        <v>27</v>
      </c>
      <c r="K124" s="18" t="s">
        <v>55</v>
      </c>
      <c r="L124" s="18" t="s">
        <v>48</v>
      </c>
      <c r="M124" s="18" t="s">
        <v>49</v>
      </c>
      <c r="N124" s="18" t="n">
        <v>9</v>
      </c>
      <c r="O124" s="20" t="n">
        <v>1514.71</v>
      </c>
      <c r="P124" s="21" t="n">
        <v>0.25</v>
      </c>
      <c r="Q124" s="20" t="n">
        <f aca="false">N124*O124*(1-P124)</f>
        <v>10224.2925</v>
      </c>
      <c r="R124" s="20" t="n">
        <f aca="false">Q124*0.5828</f>
        <v>5958.717669</v>
      </c>
      <c r="S124" s="20" t="n">
        <f aca="false">Q124-R124</f>
        <v>4265.574831</v>
      </c>
      <c r="T124" s="18"/>
    </row>
    <row r="125" customFormat="false" ht="15" hidden="false" customHeight="false" outlineLevel="0" collapsed="false">
      <c r="A125" s="6" t="s">
        <v>363</v>
      </c>
      <c r="B125" s="7" t="n">
        <v>45592</v>
      </c>
      <c r="C125" s="7" t="n">
        <v>45597</v>
      </c>
      <c r="D125" s="6" t="s">
        <v>364</v>
      </c>
      <c r="E125" s="6" t="s">
        <v>52</v>
      </c>
      <c r="F125" s="6" t="s">
        <v>53</v>
      </c>
      <c r="G125" s="6" t="s">
        <v>191</v>
      </c>
      <c r="H125" s="6" t="s">
        <v>45</v>
      </c>
      <c r="I125" s="6" t="s">
        <v>157</v>
      </c>
      <c r="J125" s="6" t="s">
        <v>27</v>
      </c>
      <c r="K125" s="6" t="s">
        <v>28</v>
      </c>
      <c r="L125" s="6" t="s">
        <v>39</v>
      </c>
      <c r="M125" s="6" t="s">
        <v>49</v>
      </c>
      <c r="N125" s="6" t="n">
        <v>64</v>
      </c>
      <c r="O125" s="8" t="n">
        <v>2401.5</v>
      </c>
      <c r="P125" s="9" t="n">
        <v>0</v>
      </c>
      <c r="Q125" s="8" t="n">
        <f aca="false">N125*O125*(1-P125)</f>
        <v>153696</v>
      </c>
      <c r="R125" s="8" t="n">
        <f aca="false">Q125*0.6202</f>
        <v>95322.2592</v>
      </c>
      <c r="S125" s="8" t="n">
        <f aca="false">Q125-R125</f>
        <v>58373.7408</v>
      </c>
      <c r="T125" s="6" t="n">
        <v>3</v>
      </c>
    </row>
    <row r="126" customFormat="false" ht="15" hidden="false" customHeight="false" outlineLevel="0" collapsed="false">
      <c r="A126" s="2" t="s">
        <v>365</v>
      </c>
      <c r="B126" s="3" t="n">
        <v>45131</v>
      </c>
      <c r="C126" s="3" t="n">
        <v>45133</v>
      </c>
      <c r="D126" s="2" t="s">
        <v>366</v>
      </c>
      <c r="E126" s="2" t="s">
        <v>33</v>
      </c>
      <c r="F126" s="2" t="s">
        <v>60</v>
      </c>
      <c r="G126" s="2" t="s">
        <v>227</v>
      </c>
      <c r="H126" s="2" t="s">
        <v>68</v>
      </c>
      <c r="I126" s="2" t="s">
        <v>151</v>
      </c>
      <c r="J126" s="2" t="s">
        <v>76</v>
      </c>
      <c r="K126" s="2" t="s">
        <v>28</v>
      </c>
      <c r="L126" s="2" t="s">
        <v>48</v>
      </c>
      <c r="M126" s="2" t="s">
        <v>114</v>
      </c>
      <c r="N126" s="2" t="n">
        <v>35</v>
      </c>
      <c r="O126" s="4" t="n">
        <v>2132.8</v>
      </c>
      <c r="P126" s="5" t="n">
        <v>0.25</v>
      </c>
      <c r="Q126" s="4" t="n">
        <f aca="false">N126*O126*(1-P126)</f>
        <v>55986</v>
      </c>
      <c r="R126" s="4" t="n">
        <f aca="false">Q126*0.5926</f>
        <v>33177.3036</v>
      </c>
      <c r="S126" s="4" t="n">
        <f aca="false">Q126-R126</f>
        <v>22808.6964</v>
      </c>
      <c r="T126" s="2" t="n">
        <v>4.6</v>
      </c>
    </row>
    <row r="127" customFormat="false" ht="15" hidden="false" customHeight="false" outlineLevel="0" collapsed="false">
      <c r="A127" s="6" t="s">
        <v>367</v>
      </c>
      <c r="B127" s="7" t="n">
        <v>45088</v>
      </c>
      <c r="C127" s="7" t="n">
        <v>45100</v>
      </c>
      <c r="D127" s="6" t="s">
        <v>368</v>
      </c>
      <c r="E127" s="6" t="s">
        <v>87</v>
      </c>
      <c r="F127" s="6" t="s">
        <v>60</v>
      </c>
      <c r="G127" s="6" t="s">
        <v>227</v>
      </c>
      <c r="H127" s="6" t="s">
        <v>45</v>
      </c>
      <c r="I127" s="6" t="s">
        <v>46</v>
      </c>
      <c r="J127" s="6" t="s">
        <v>70</v>
      </c>
      <c r="K127" s="6" t="s">
        <v>55</v>
      </c>
      <c r="L127" s="6" t="s">
        <v>48</v>
      </c>
      <c r="M127" s="6" t="s">
        <v>49</v>
      </c>
      <c r="N127" s="6" t="n">
        <v>182</v>
      </c>
      <c r="O127" s="8" t="n">
        <v>2318.67</v>
      </c>
      <c r="P127" s="9" t="n">
        <v>0</v>
      </c>
      <c r="Q127" s="8" t="n">
        <f aca="false">N127*O127*(1-P127)</f>
        <v>421997.94</v>
      </c>
      <c r="R127" s="8" t="n">
        <f aca="false">Q127*0.6997</f>
        <v>295271.958618</v>
      </c>
      <c r="S127" s="8" t="n">
        <f aca="false">Q127-R127</f>
        <v>126725.981382</v>
      </c>
      <c r="T127" s="6"/>
    </row>
    <row r="128" customFormat="false" ht="15" hidden="false" customHeight="false" outlineLevel="0" collapsed="false">
      <c r="A128" s="2" t="s">
        <v>369</v>
      </c>
      <c r="B128" s="3" t="n">
        <v>45296</v>
      </c>
      <c r="C128" s="3" t="n">
        <v>45305</v>
      </c>
      <c r="D128" s="2" t="s">
        <v>370</v>
      </c>
      <c r="E128" s="2" t="s">
        <v>80</v>
      </c>
      <c r="F128" s="2" t="s">
        <v>34</v>
      </c>
      <c r="G128" s="2" t="s">
        <v>164</v>
      </c>
      <c r="H128" s="2" t="s">
        <v>109</v>
      </c>
      <c r="I128" s="2" t="s">
        <v>172</v>
      </c>
      <c r="J128" s="2" t="s">
        <v>27</v>
      </c>
      <c r="K128" s="2" t="s">
        <v>28</v>
      </c>
      <c r="L128" s="2" t="s">
        <v>39</v>
      </c>
      <c r="M128" s="2" t="s">
        <v>137</v>
      </c>
      <c r="N128" s="2" t="n">
        <v>147</v>
      </c>
      <c r="O128" s="4" t="n">
        <v>925.43</v>
      </c>
      <c r="P128" s="5" t="n">
        <v>0</v>
      </c>
      <c r="Q128" s="4" t="n">
        <f aca="false">N128*O128*(1-P128)</f>
        <v>136038.21</v>
      </c>
      <c r="R128" s="4" t="n">
        <f aca="false">Q128*0.734</f>
        <v>99852.04614</v>
      </c>
      <c r="S128" s="4" t="n">
        <f aca="false">Q128-R128</f>
        <v>36186.16386</v>
      </c>
      <c r="T128" s="2" t="n">
        <v>1.3</v>
      </c>
    </row>
    <row r="129" customFormat="false" ht="15" hidden="false" customHeight="false" outlineLevel="0" collapsed="false">
      <c r="A129" s="6" t="s">
        <v>371</v>
      </c>
      <c r="B129" s="7" t="n">
        <v>45251</v>
      </c>
      <c r="C129" s="7" t="n">
        <v>45262</v>
      </c>
      <c r="D129" s="6" t="s">
        <v>372</v>
      </c>
      <c r="E129" s="6" t="s">
        <v>80</v>
      </c>
      <c r="F129" s="6" t="s">
        <v>60</v>
      </c>
      <c r="G129" s="6" t="s">
        <v>67</v>
      </c>
      <c r="H129" s="6" t="s">
        <v>36</v>
      </c>
      <c r="I129" s="6" t="s">
        <v>245</v>
      </c>
      <c r="J129" s="6" t="s">
        <v>76</v>
      </c>
      <c r="K129" s="6" t="s">
        <v>55</v>
      </c>
      <c r="L129" s="6" t="s">
        <v>29</v>
      </c>
      <c r="M129" s="6" t="s">
        <v>56</v>
      </c>
      <c r="N129" s="6" t="n">
        <v>19</v>
      </c>
      <c r="O129" s="8" t="n">
        <v>1127.69</v>
      </c>
      <c r="P129" s="9" t="n">
        <v>0.15</v>
      </c>
      <c r="Q129" s="8" t="n">
        <f aca="false">N129*O129*(1-P129)</f>
        <v>18212.1935</v>
      </c>
      <c r="R129" s="8" t="n">
        <f aca="false">Q129*0.6732</f>
        <v>12260.4486642</v>
      </c>
      <c r="S129" s="8" t="n">
        <f aca="false">Q129-R129</f>
        <v>5951.7448358</v>
      </c>
      <c r="T129" s="6"/>
    </row>
    <row r="130" customFormat="false" ht="15" hidden="false" customHeight="false" outlineLevel="0" collapsed="false">
      <c r="A130" s="22" t="s">
        <v>373</v>
      </c>
      <c r="B130" s="23" t="n">
        <v>45457</v>
      </c>
      <c r="C130" s="23" t="n">
        <v>45460</v>
      </c>
      <c r="D130" s="22" t="s">
        <v>374</v>
      </c>
      <c r="E130" s="22" t="s">
        <v>73</v>
      </c>
      <c r="F130" s="22" t="s">
        <v>34</v>
      </c>
      <c r="G130" s="22" t="s">
        <v>164</v>
      </c>
      <c r="H130" s="22" t="s">
        <v>45</v>
      </c>
      <c r="I130" s="22" t="s">
        <v>92</v>
      </c>
      <c r="J130" s="22" t="s">
        <v>38</v>
      </c>
      <c r="K130" s="22" t="s">
        <v>84</v>
      </c>
      <c r="L130" s="22" t="s">
        <v>29</v>
      </c>
      <c r="M130" s="22" t="s">
        <v>137</v>
      </c>
      <c r="N130" s="22" t="n">
        <v>78</v>
      </c>
      <c r="O130" s="24" t="n">
        <v>415.82</v>
      </c>
      <c r="P130" s="25" t="n">
        <v>0.15</v>
      </c>
      <c r="Q130" s="24" t="n">
        <f aca="false">N130*O130*(1-P130)</f>
        <v>27568.866</v>
      </c>
      <c r="R130" s="24" t="n">
        <f aca="false">Q130*0.6385</f>
        <v>17602.720941</v>
      </c>
      <c r="S130" s="24" t="n">
        <f aca="false">Q130-R130</f>
        <v>9966.145059</v>
      </c>
      <c r="T130" s="22"/>
    </row>
    <row r="131" customFormat="false" ht="15" hidden="false" customHeight="false" outlineLevel="0" collapsed="false">
      <c r="A131" s="6" t="s">
        <v>375</v>
      </c>
      <c r="B131" s="7" t="n">
        <v>45567</v>
      </c>
      <c r="C131" s="6"/>
      <c r="D131" s="6" t="s">
        <v>376</v>
      </c>
      <c r="E131" s="6" t="s">
        <v>124</v>
      </c>
      <c r="F131" s="6" t="s">
        <v>53</v>
      </c>
      <c r="G131" s="6" t="s">
        <v>54</v>
      </c>
      <c r="H131" s="6" t="s">
        <v>68</v>
      </c>
      <c r="I131" s="6" t="s">
        <v>141</v>
      </c>
      <c r="J131" s="6" t="s">
        <v>27</v>
      </c>
      <c r="K131" s="6" t="s">
        <v>64</v>
      </c>
      <c r="L131" s="6" t="s">
        <v>48</v>
      </c>
      <c r="M131" s="6" t="s">
        <v>56</v>
      </c>
      <c r="N131" s="6" t="n">
        <v>78</v>
      </c>
      <c r="O131" s="8" t="n">
        <v>1538</v>
      </c>
      <c r="P131" s="9" t="n">
        <v>0</v>
      </c>
      <c r="Q131" s="8" t="n">
        <f aca="false">N131*O131*(1-P131)</f>
        <v>119964</v>
      </c>
      <c r="R131" s="8" t="n">
        <f aca="false">Q131*0.5934</f>
        <v>71186.6376</v>
      </c>
      <c r="S131" s="8" t="n">
        <f aca="false">Q131-R131</f>
        <v>48777.3624</v>
      </c>
      <c r="T131" s="6"/>
    </row>
    <row r="132" customFormat="false" ht="15" hidden="false" customHeight="false" outlineLevel="0" collapsed="false">
      <c r="A132" s="18" t="s">
        <v>377</v>
      </c>
      <c r="B132" s="19" t="n">
        <v>44969</v>
      </c>
      <c r="C132" s="19" t="n">
        <v>44983</v>
      </c>
      <c r="D132" s="18" t="s">
        <v>378</v>
      </c>
      <c r="E132" s="18" t="s">
        <v>99</v>
      </c>
      <c r="F132" s="18" t="s">
        <v>43</v>
      </c>
      <c r="G132" s="18" t="s">
        <v>81</v>
      </c>
      <c r="H132" s="18" t="s">
        <v>36</v>
      </c>
      <c r="I132" s="18" t="s">
        <v>37</v>
      </c>
      <c r="J132" s="18" t="s">
        <v>38</v>
      </c>
      <c r="K132" s="18" t="s">
        <v>55</v>
      </c>
      <c r="L132" s="18" t="s">
        <v>48</v>
      </c>
      <c r="M132" s="18" t="s">
        <v>30</v>
      </c>
      <c r="N132" s="18" t="n">
        <v>8</v>
      </c>
      <c r="O132" s="20" t="n">
        <v>207.65</v>
      </c>
      <c r="P132" s="21" t="n">
        <v>0.1</v>
      </c>
      <c r="Q132" s="20" t="n">
        <f aca="false">N132*O132*(1-P132)</f>
        <v>1495.08</v>
      </c>
      <c r="R132" s="20" t="n">
        <f aca="false">Q132*0.7293</f>
        <v>1090.361844</v>
      </c>
      <c r="S132" s="20" t="n">
        <f aca="false">Q132-R132</f>
        <v>404.718156</v>
      </c>
      <c r="T132" s="18"/>
    </row>
    <row r="133" customFormat="false" ht="15" hidden="false" customHeight="false" outlineLevel="0" collapsed="false">
      <c r="A133" s="6" t="s">
        <v>379</v>
      </c>
      <c r="B133" s="7" t="n">
        <v>45177</v>
      </c>
      <c r="C133" s="7" t="n">
        <v>45190</v>
      </c>
      <c r="D133" s="6" t="s">
        <v>380</v>
      </c>
      <c r="E133" s="6" t="s">
        <v>95</v>
      </c>
      <c r="F133" s="6" t="s">
        <v>34</v>
      </c>
      <c r="G133" s="6" t="s">
        <v>128</v>
      </c>
      <c r="H133" s="6" t="s">
        <v>36</v>
      </c>
      <c r="I133" s="6" t="s">
        <v>88</v>
      </c>
      <c r="J133" s="6" t="s">
        <v>38</v>
      </c>
      <c r="K133" s="6" t="s">
        <v>28</v>
      </c>
      <c r="L133" s="6" t="s">
        <v>48</v>
      </c>
      <c r="M133" s="6" t="s">
        <v>114</v>
      </c>
      <c r="N133" s="6" t="n">
        <v>176</v>
      </c>
      <c r="O133" s="8" t="n">
        <v>1018.2</v>
      </c>
      <c r="P133" s="9" t="n">
        <v>0.25</v>
      </c>
      <c r="Q133" s="8" t="n">
        <f aca="false">N133*O133*(1-P133)</f>
        <v>134402.4</v>
      </c>
      <c r="R133" s="8" t="n">
        <f aca="false">Q133*0.578</f>
        <v>77684.5872</v>
      </c>
      <c r="S133" s="8" t="n">
        <f aca="false">Q133-R133</f>
        <v>56717.8128</v>
      </c>
      <c r="T133" s="6" t="n">
        <v>3.8</v>
      </c>
    </row>
    <row r="134" customFormat="false" ht="15" hidden="false" customHeight="false" outlineLevel="0" collapsed="false">
      <c r="A134" s="2" t="s">
        <v>381</v>
      </c>
      <c r="B134" s="3" t="n">
        <v>45253</v>
      </c>
      <c r="C134" s="3" t="n">
        <v>45265</v>
      </c>
      <c r="D134" s="2" t="s">
        <v>382</v>
      </c>
      <c r="E134" s="2" t="s">
        <v>95</v>
      </c>
      <c r="F134" s="2" t="s">
        <v>43</v>
      </c>
      <c r="G134" s="2" t="s">
        <v>125</v>
      </c>
      <c r="H134" s="2" t="s">
        <v>82</v>
      </c>
      <c r="I134" s="2" t="s">
        <v>234</v>
      </c>
      <c r="J134" s="2" t="s">
        <v>27</v>
      </c>
      <c r="K134" s="2" t="s">
        <v>28</v>
      </c>
      <c r="L134" s="2" t="s">
        <v>77</v>
      </c>
      <c r="M134" s="2" t="s">
        <v>49</v>
      </c>
      <c r="N134" s="2" t="n">
        <v>89</v>
      </c>
      <c r="O134" s="4" t="n">
        <v>2438.56</v>
      </c>
      <c r="P134" s="5" t="n">
        <v>0</v>
      </c>
      <c r="Q134" s="4" t="n">
        <f aca="false">N134*O134*(1-P134)</f>
        <v>217031.84</v>
      </c>
      <c r="R134" s="4" t="n">
        <f aca="false">Q134*0.5746</f>
        <v>124706.495264</v>
      </c>
      <c r="S134" s="4" t="n">
        <f aca="false">Q134-R134</f>
        <v>92325.344736</v>
      </c>
      <c r="T134" s="2" t="n">
        <v>3.1</v>
      </c>
    </row>
    <row r="135" customFormat="false" ht="15" hidden="false" customHeight="false" outlineLevel="0" collapsed="false">
      <c r="A135" s="6" t="s">
        <v>383</v>
      </c>
      <c r="B135" s="7" t="n">
        <v>44978</v>
      </c>
      <c r="C135" s="7" t="n">
        <v>44983</v>
      </c>
      <c r="D135" s="6" t="s">
        <v>384</v>
      </c>
      <c r="E135" s="6" t="s">
        <v>42</v>
      </c>
      <c r="F135" s="6" t="s">
        <v>23</v>
      </c>
      <c r="G135" s="6" t="s">
        <v>156</v>
      </c>
      <c r="H135" s="6" t="s">
        <v>62</v>
      </c>
      <c r="I135" s="6" t="s">
        <v>75</v>
      </c>
      <c r="J135" s="6" t="s">
        <v>70</v>
      </c>
      <c r="K135" s="6" t="s">
        <v>28</v>
      </c>
      <c r="L135" s="6" t="s">
        <v>77</v>
      </c>
      <c r="M135" s="6" t="s">
        <v>137</v>
      </c>
      <c r="N135" s="6" t="n">
        <v>99</v>
      </c>
      <c r="O135" s="8" t="n">
        <v>2161.09</v>
      </c>
      <c r="P135" s="9" t="n">
        <v>0.2</v>
      </c>
      <c r="Q135" s="8" t="n">
        <f aca="false">N135*O135*(1-P135)</f>
        <v>171158.328</v>
      </c>
      <c r="R135" s="8" t="n">
        <f aca="false">Q135*0.696</f>
        <v>119126.196288</v>
      </c>
      <c r="S135" s="8" t="n">
        <f aca="false">Q135-R135</f>
        <v>52032.131712</v>
      </c>
      <c r="T135" s="6" t="n">
        <v>4.9</v>
      </c>
    </row>
    <row r="136" customFormat="false" ht="15" hidden="false" customHeight="false" outlineLevel="0" collapsed="false">
      <c r="A136" s="2" t="s">
        <v>385</v>
      </c>
      <c r="B136" s="3" t="n">
        <v>45242</v>
      </c>
      <c r="C136" s="3" t="n">
        <v>45250</v>
      </c>
      <c r="D136" s="2" t="s">
        <v>386</v>
      </c>
      <c r="E136" s="2" t="s">
        <v>22</v>
      </c>
      <c r="F136" s="2" t="s">
        <v>43</v>
      </c>
      <c r="G136" s="2" t="s">
        <v>104</v>
      </c>
      <c r="H136" s="2" t="s">
        <v>36</v>
      </c>
      <c r="I136" s="2" t="s">
        <v>96</v>
      </c>
      <c r="J136" s="2" t="s">
        <v>27</v>
      </c>
      <c r="K136" s="2" t="s">
        <v>28</v>
      </c>
      <c r="L136" s="2" t="s">
        <v>39</v>
      </c>
      <c r="M136" s="2" t="s">
        <v>114</v>
      </c>
      <c r="N136" s="2" t="n">
        <v>6</v>
      </c>
      <c r="O136" s="4" t="n">
        <v>229.67</v>
      </c>
      <c r="P136" s="5" t="n">
        <v>0.2</v>
      </c>
      <c r="Q136" s="4" t="n">
        <f aca="false">N136*O136*(1-P136)</f>
        <v>1102.416</v>
      </c>
      <c r="R136" s="4" t="n">
        <f aca="false">Q136*0.6203</f>
        <v>683.8286448</v>
      </c>
      <c r="S136" s="4" t="n">
        <f aca="false">Q136-R136</f>
        <v>418.5873552</v>
      </c>
      <c r="T136" s="2" t="n">
        <v>2.8</v>
      </c>
    </row>
    <row r="137" customFormat="false" ht="15" hidden="false" customHeight="false" outlineLevel="0" collapsed="false">
      <c r="A137" s="6" t="s">
        <v>387</v>
      </c>
      <c r="B137" s="7" t="n">
        <v>45476</v>
      </c>
      <c r="C137" s="7" t="n">
        <v>45477</v>
      </c>
      <c r="D137" s="6" t="s">
        <v>388</v>
      </c>
      <c r="E137" s="6" t="s">
        <v>272</v>
      </c>
      <c r="F137" s="6" t="s">
        <v>43</v>
      </c>
      <c r="G137" s="6" t="s">
        <v>44</v>
      </c>
      <c r="H137" s="6" t="s">
        <v>36</v>
      </c>
      <c r="I137" s="6" t="s">
        <v>96</v>
      </c>
      <c r="J137" s="6" t="s">
        <v>47</v>
      </c>
      <c r="K137" s="6" t="s">
        <v>28</v>
      </c>
      <c r="L137" s="6" t="s">
        <v>39</v>
      </c>
      <c r="M137" s="6" t="s">
        <v>49</v>
      </c>
      <c r="N137" s="6" t="n">
        <v>28</v>
      </c>
      <c r="O137" s="8" t="n">
        <v>1080.16</v>
      </c>
      <c r="P137" s="9" t="n">
        <v>0.1</v>
      </c>
      <c r="Q137" s="8" t="n">
        <f aca="false">N137*O137*(1-P137)</f>
        <v>27220.032</v>
      </c>
      <c r="R137" s="8" t="n">
        <f aca="false">Q137*0.6359</f>
        <v>17309.2183488</v>
      </c>
      <c r="S137" s="8" t="n">
        <f aca="false">Q137-R137</f>
        <v>9910.8136512</v>
      </c>
      <c r="T137" s="6" t="n">
        <v>4.1</v>
      </c>
    </row>
    <row r="138" customFormat="false" ht="15" hidden="false" customHeight="false" outlineLevel="0" collapsed="false">
      <c r="A138" s="2" t="s">
        <v>389</v>
      </c>
      <c r="B138" s="3" t="n">
        <v>45322</v>
      </c>
      <c r="C138" s="3" t="n">
        <v>45331</v>
      </c>
      <c r="D138" s="2" t="s">
        <v>390</v>
      </c>
      <c r="E138" s="2" t="s">
        <v>52</v>
      </c>
      <c r="F138" s="2" t="s">
        <v>53</v>
      </c>
      <c r="G138" s="2" t="s">
        <v>117</v>
      </c>
      <c r="H138" s="2" t="s">
        <v>82</v>
      </c>
      <c r="I138" s="2" t="s">
        <v>83</v>
      </c>
      <c r="J138" s="2" t="s">
        <v>38</v>
      </c>
      <c r="K138" s="2" t="s">
        <v>28</v>
      </c>
      <c r="L138" s="2" t="s">
        <v>48</v>
      </c>
      <c r="M138" s="2" t="s">
        <v>137</v>
      </c>
      <c r="N138" s="2" t="n">
        <v>116</v>
      </c>
      <c r="O138" s="4" t="n">
        <v>1912.19</v>
      </c>
      <c r="P138" s="5" t="n">
        <v>0.1</v>
      </c>
      <c r="Q138" s="4" t="n">
        <f aca="false">N138*O138*(1-P138)</f>
        <v>199632.636</v>
      </c>
      <c r="R138" s="4" t="n">
        <f aca="false">Q138*0.7082</f>
        <v>141379.8328152</v>
      </c>
      <c r="S138" s="4" t="n">
        <f aca="false">Q138-R138</f>
        <v>58252.8031848</v>
      </c>
      <c r="T138" s="2" t="n">
        <v>1.5</v>
      </c>
    </row>
    <row r="139" customFormat="false" ht="15" hidden="false" customHeight="false" outlineLevel="0" collapsed="false">
      <c r="A139" s="6" t="s">
        <v>391</v>
      </c>
      <c r="B139" s="7" t="n">
        <v>45448</v>
      </c>
      <c r="C139" s="7" t="n">
        <v>45455</v>
      </c>
      <c r="D139" s="6" t="s">
        <v>392</v>
      </c>
      <c r="E139" s="6" t="s">
        <v>91</v>
      </c>
      <c r="F139" s="6" t="s">
        <v>23</v>
      </c>
      <c r="G139" s="6" t="s">
        <v>156</v>
      </c>
      <c r="H139" s="6" t="s">
        <v>68</v>
      </c>
      <c r="I139" s="6" t="s">
        <v>151</v>
      </c>
      <c r="J139" s="6" t="s">
        <v>70</v>
      </c>
      <c r="K139" s="6" t="s">
        <v>55</v>
      </c>
      <c r="L139" s="6" t="s">
        <v>77</v>
      </c>
      <c r="M139" s="6" t="s">
        <v>30</v>
      </c>
      <c r="N139" s="6" t="n">
        <v>129</v>
      </c>
      <c r="O139" s="8" t="n">
        <v>105.44</v>
      </c>
      <c r="P139" s="9" t="n">
        <v>0</v>
      </c>
      <c r="Q139" s="8" t="n">
        <f aca="false">N139*O139*(1-P139)</f>
        <v>13601.76</v>
      </c>
      <c r="R139" s="8" t="n">
        <f aca="false">Q139*0.5996</f>
        <v>8155.615296</v>
      </c>
      <c r="S139" s="8" t="n">
        <f aca="false">Q139-R139</f>
        <v>5446.144704</v>
      </c>
      <c r="T139" s="6"/>
    </row>
    <row r="140" customFormat="false" ht="15" hidden="false" customHeight="false" outlineLevel="0" collapsed="false">
      <c r="A140" s="22" t="s">
        <v>393</v>
      </c>
      <c r="B140" s="23" t="n">
        <v>45554</v>
      </c>
      <c r="C140" s="23" t="n">
        <v>45560</v>
      </c>
      <c r="D140" s="22" t="s">
        <v>394</v>
      </c>
      <c r="E140" s="22" t="s">
        <v>99</v>
      </c>
      <c r="F140" s="22" t="s">
        <v>53</v>
      </c>
      <c r="G140" s="22" t="s">
        <v>191</v>
      </c>
      <c r="H140" s="22" t="s">
        <v>36</v>
      </c>
      <c r="I140" s="22" t="s">
        <v>245</v>
      </c>
      <c r="J140" s="22" t="s">
        <v>38</v>
      </c>
      <c r="K140" s="22" t="s">
        <v>84</v>
      </c>
      <c r="L140" s="22" t="s">
        <v>77</v>
      </c>
      <c r="M140" s="22" t="s">
        <v>49</v>
      </c>
      <c r="N140" s="22" t="n">
        <v>42</v>
      </c>
      <c r="O140" s="24" t="n">
        <v>985.42</v>
      </c>
      <c r="P140" s="25" t="n">
        <v>0.1</v>
      </c>
      <c r="Q140" s="24" t="n">
        <f aca="false">N140*O140*(1-P140)</f>
        <v>37248.876</v>
      </c>
      <c r="R140" s="24" t="n">
        <f aca="false">Q140*0.6789</f>
        <v>25288.2619164</v>
      </c>
      <c r="S140" s="24" t="n">
        <f aca="false">Q140-R140</f>
        <v>11960.6140836</v>
      </c>
      <c r="T140" s="22"/>
    </row>
    <row r="141" customFormat="false" ht="15" hidden="false" customHeight="false" outlineLevel="0" collapsed="false">
      <c r="A141" s="6" t="s">
        <v>395</v>
      </c>
      <c r="B141" s="7" t="n">
        <v>45616</v>
      </c>
      <c r="C141" s="7" t="n">
        <v>45618</v>
      </c>
      <c r="D141" s="6" t="s">
        <v>396</v>
      </c>
      <c r="E141" s="6" t="s">
        <v>124</v>
      </c>
      <c r="F141" s="6" t="s">
        <v>34</v>
      </c>
      <c r="G141" s="6" t="s">
        <v>128</v>
      </c>
      <c r="H141" s="6" t="s">
        <v>25</v>
      </c>
      <c r="I141" s="6" t="s">
        <v>209</v>
      </c>
      <c r="J141" s="6" t="s">
        <v>76</v>
      </c>
      <c r="K141" s="6" t="s">
        <v>55</v>
      </c>
      <c r="L141" s="6" t="s">
        <v>48</v>
      </c>
      <c r="M141" s="6" t="s">
        <v>49</v>
      </c>
      <c r="N141" s="6" t="n">
        <v>107</v>
      </c>
      <c r="O141" s="8" t="n">
        <v>1461.34</v>
      </c>
      <c r="P141" s="9" t="n">
        <v>0</v>
      </c>
      <c r="Q141" s="8" t="n">
        <f aca="false">N141*O141*(1-P141)</f>
        <v>156363.38</v>
      </c>
      <c r="R141" s="8" t="n">
        <f aca="false">Q141*0.5996</f>
        <v>93755.482648</v>
      </c>
      <c r="S141" s="8" t="n">
        <f aca="false">Q141-R141</f>
        <v>62607.897352</v>
      </c>
      <c r="T141" s="6"/>
    </row>
    <row r="142" customFormat="false" ht="15" hidden="false" customHeight="false" outlineLevel="0" collapsed="false">
      <c r="A142" s="10" t="s">
        <v>397</v>
      </c>
      <c r="B142" s="11" t="n">
        <v>45571</v>
      </c>
      <c r="C142" s="10"/>
      <c r="D142" s="10" t="s">
        <v>398</v>
      </c>
      <c r="E142" s="10" t="s">
        <v>33</v>
      </c>
      <c r="F142" s="10" t="s">
        <v>53</v>
      </c>
      <c r="G142" s="10" t="s">
        <v>54</v>
      </c>
      <c r="H142" s="10" t="s">
        <v>36</v>
      </c>
      <c r="I142" s="10" t="s">
        <v>37</v>
      </c>
      <c r="J142" s="10" t="s">
        <v>47</v>
      </c>
      <c r="K142" s="10" t="s">
        <v>64</v>
      </c>
      <c r="L142" s="10" t="s">
        <v>77</v>
      </c>
      <c r="M142" s="10" t="s">
        <v>30</v>
      </c>
      <c r="N142" s="10" t="n">
        <v>185</v>
      </c>
      <c r="O142" s="12" t="n">
        <v>1551.24</v>
      </c>
      <c r="P142" s="13" t="n">
        <v>0.2</v>
      </c>
      <c r="Q142" s="12" t="n">
        <f aca="false">N142*O142*(1-P142)</f>
        <v>229583.52</v>
      </c>
      <c r="R142" s="12" t="n">
        <f aca="false">Q142*0.6702</f>
        <v>153866.875104</v>
      </c>
      <c r="S142" s="12" t="n">
        <f aca="false">Q142-R142</f>
        <v>75716.644896</v>
      </c>
      <c r="T142" s="10"/>
    </row>
    <row r="143" customFormat="false" ht="15" hidden="false" customHeight="false" outlineLevel="0" collapsed="false">
      <c r="A143" s="6" t="s">
        <v>399</v>
      </c>
      <c r="B143" s="7" t="n">
        <v>45349</v>
      </c>
      <c r="C143" s="7" t="n">
        <v>45361</v>
      </c>
      <c r="D143" s="6" t="s">
        <v>400</v>
      </c>
      <c r="E143" s="6" t="s">
        <v>22</v>
      </c>
      <c r="F143" s="6" t="s">
        <v>43</v>
      </c>
      <c r="G143" s="6" t="s">
        <v>150</v>
      </c>
      <c r="H143" s="6" t="s">
        <v>36</v>
      </c>
      <c r="I143" s="6" t="s">
        <v>88</v>
      </c>
      <c r="J143" s="6" t="s">
        <v>47</v>
      </c>
      <c r="K143" s="6" t="s">
        <v>28</v>
      </c>
      <c r="L143" s="6" t="s">
        <v>39</v>
      </c>
      <c r="M143" s="6" t="s">
        <v>56</v>
      </c>
      <c r="N143" s="6" t="n">
        <v>53</v>
      </c>
      <c r="O143" s="8" t="n">
        <v>1028.89</v>
      </c>
      <c r="P143" s="9" t="n">
        <v>0.25</v>
      </c>
      <c r="Q143" s="8" t="n">
        <f aca="false">N143*O143*(1-P143)</f>
        <v>40898.3775</v>
      </c>
      <c r="R143" s="8" t="n">
        <f aca="false">Q143*0.6942</f>
        <v>28391.6536605</v>
      </c>
      <c r="S143" s="8" t="n">
        <f aca="false">Q143-R143</f>
        <v>12506.7238395</v>
      </c>
      <c r="T143" s="6" t="n">
        <v>3.8</v>
      </c>
    </row>
    <row r="144" customFormat="false" ht="15" hidden="false" customHeight="false" outlineLevel="0" collapsed="false">
      <c r="A144" s="2" t="s">
        <v>401</v>
      </c>
      <c r="B144" s="3" t="n">
        <v>45397</v>
      </c>
      <c r="C144" s="3" t="n">
        <v>45406</v>
      </c>
      <c r="D144" s="2" t="s">
        <v>402</v>
      </c>
      <c r="E144" s="2" t="s">
        <v>87</v>
      </c>
      <c r="F144" s="2" t="s">
        <v>34</v>
      </c>
      <c r="G144" s="2" t="s">
        <v>164</v>
      </c>
      <c r="H144" s="2" t="s">
        <v>36</v>
      </c>
      <c r="I144" s="2" t="s">
        <v>96</v>
      </c>
      <c r="J144" s="2" t="s">
        <v>76</v>
      </c>
      <c r="K144" s="2" t="s">
        <v>28</v>
      </c>
      <c r="L144" s="2" t="s">
        <v>48</v>
      </c>
      <c r="M144" s="2" t="s">
        <v>56</v>
      </c>
      <c r="N144" s="2" t="n">
        <v>88</v>
      </c>
      <c r="O144" s="4" t="n">
        <v>1367.95</v>
      </c>
      <c r="P144" s="5" t="n">
        <v>0.1</v>
      </c>
      <c r="Q144" s="4" t="n">
        <f aca="false">N144*O144*(1-P144)</f>
        <v>108341.64</v>
      </c>
      <c r="R144" s="4" t="n">
        <f aca="false">Q144*0.607</f>
        <v>65763.37548</v>
      </c>
      <c r="S144" s="4" t="n">
        <f aca="false">Q144-R144</f>
        <v>42578.26452</v>
      </c>
      <c r="T144" s="2" t="n">
        <v>1.8</v>
      </c>
    </row>
    <row r="145" customFormat="false" ht="15" hidden="false" customHeight="false" outlineLevel="0" collapsed="false">
      <c r="A145" s="6" t="s">
        <v>403</v>
      </c>
      <c r="B145" s="7" t="n">
        <v>45251</v>
      </c>
      <c r="C145" s="7" t="n">
        <v>45259</v>
      </c>
      <c r="D145" s="6" t="s">
        <v>404</v>
      </c>
      <c r="E145" s="6" t="s">
        <v>22</v>
      </c>
      <c r="F145" s="6" t="s">
        <v>43</v>
      </c>
      <c r="G145" s="6" t="s">
        <v>104</v>
      </c>
      <c r="H145" s="6" t="s">
        <v>36</v>
      </c>
      <c r="I145" s="6" t="s">
        <v>96</v>
      </c>
      <c r="J145" s="6" t="s">
        <v>70</v>
      </c>
      <c r="K145" s="6" t="s">
        <v>55</v>
      </c>
      <c r="L145" s="6" t="s">
        <v>77</v>
      </c>
      <c r="M145" s="6" t="s">
        <v>114</v>
      </c>
      <c r="N145" s="6" t="n">
        <v>90</v>
      </c>
      <c r="O145" s="8" t="n">
        <v>1403.42</v>
      </c>
      <c r="P145" s="9" t="n">
        <v>0.1</v>
      </c>
      <c r="Q145" s="8" t="n">
        <f aca="false">N145*O145*(1-P145)</f>
        <v>113677.02</v>
      </c>
      <c r="R145" s="8" t="n">
        <f aca="false">Q145*0.7383</f>
        <v>83927.743866</v>
      </c>
      <c r="S145" s="8" t="n">
        <f aca="false">Q145-R145</f>
        <v>29749.276134</v>
      </c>
      <c r="T145" s="6"/>
    </row>
    <row r="146" customFormat="false" ht="15" hidden="false" customHeight="false" outlineLevel="0" collapsed="false">
      <c r="A146" s="18" t="s">
        <v>405</v>
      </c>
      <c r="B146" s="19" t="n">
        <v>44970</v>
      </c>
      <c r="C146" s="19" t="n">
        <v>44975</v>
      </c>
      <c r="D146" s="18" t="s">
        <v>406</v>
      </c>
      <c r="E146" s="18" t="s">
        <v>73</v>
      </c>
      <c r="F146" s="18" t="s">
        <v>23</v>
      </c>
      <c r="G146" s="18" t="s">
        <v>100</v>
      </c>
      <c r="H146" s="18" t="s">
        <v>25</v>
      </c>
      <c r="I146" s="18" t="s">
        <v>209</v>
      </c>
      <c r="J146" s="18" t="s">
        <v>76</v>
      </c>
      <c r="K146" s="18" t="s">
        <v>55</v>
      </c>
      <c r="L146" s="18" t="s">
        <v>77</v>
      </c>
      <c r="M146" s="18" t="s">
        <v>49</v>
      </c>
      <c r="N146" s="18" t="n">
        <v>183</v>
      </c>
      <c r="O146" s="20" t="n">
        <v>202.18</v>
      </c>
      <c r="P146" s="21" t="n">
        <v>0.25</v>
      </c>
      <c r="Q146" s="20" t="n">
        <f aca="false">N146*O146*(1-P146)</f>
        <v>27749.205</v>
      </c>
      <c r="R146" s="20" t="n">
        <f aca="false">Q146*0.5554</f>
        <v>15411.908457</v>
      </c>
      <c r="S146" s="20" t="n">
        <f aca="false">Q146-R146</f>
        <v>12337.296543</v>
      </c>
      <c r="T146" s="18"/>
    </row>
    <row r="147" customFormat="false" ht="15" hidden="false" customHeight="false" outlineLevel="0" collapsed="false">
      <c r="A147" s="6" t="s">
        <v>407</v>
      </c>
      <c r="B147" s="7" t="n">
        <v>45557</v>
      </c>
      <c r="C147" s="6"/>
      <c r="D147" s="6" t="s">
        <v>408</v>
      </c>
      <c r="E147" s="6" t="s">
        <v>124</v>
      </c>
      <c r="F147" s="6" t="s">
        <v>60</v>
      </c>
      <c r="G147" s="6" t="s">
        <v>113</v>
      </c>
      <c r="H147" s="6" t="s">
        <v>62</v>
      </c>
      <c r="I147" s="6" t="s">
        <v>132</v>
      </c>
      <c r="J147" s="6" t="s">
        <v>38</v>
      </c>
      <c r="K147" s="6" t="s">
        <v>64</v>
      </c>
      <c r="L147" s="6" t="s">
        <v>77</v>
      </c>
      <c r="M147" s="6" t="s">
        <v>137</v>
      </c>
      <c r="N147" s="6" t="n">
        <v>190</v>
      </c>
      <c r="O147" s="8" t="n">
        <v>1469.14</v>
      </c>
      <c r="P147" s="9" t="n">
        <v>0.05</v>
      </c>
      <c r="Q147" s="8" t="n">
        <f aca="false">N147*O147*(1-P147)</f>
        <v>265179.77</v>
      </c>
      <c r="R147" s="8" t="n">
        <f aca="false">Q147*0.7194</f>
        <v>190770.326538</v>
      </c>
      <c r="S147" s="8" t="n">
        <f aca="false">Q147-R147</f>
        <v>74409.443462</v>
      </c>
      <c r="T147" s="6"/>
    </row>
    <row r="148" customFormat="false" ht="15" hidden="false" customHeight="false" outlineLevel="0" collapsed="false">
      <c r="A148" s="2" t="s">
        <v>409</v>
      </c>
      <c r="B148" s="3" t="n">
        <v>45624</v>
      </c>
      <c r="C148" s="3" t="n">
        <v>45637</v>
      </c>
      <c r="D148" s="2" t="s">
        <v>410</v>
      </c>
      <c r="E148" s="2" t="s">
        <v>272</v>
      </c>
      <c r="F148" s="2" t="s">
        <v>34</v>
      </c>
      <c r="G148" s="2" t="s">
        <v>164</v>
      </c>
      <c r="H148" s="2" t="s">
        <v>25</v>
      </c>
      <c r="I148" s="2" t="s">
        <v>267</v>
      </c>
      <c r="J148" s="2" t="s">
        <v>47</v>
      </c>
      <c r="K148" s="2" t="s">
        <v>28</v>
      </c>
      <c r="L148" s="2" t="s">
        <v>39</v>
      </c>
      <c r="M148" s="2" t="s">
        <v>137</v>
      </c>
      <c r="N148" s="2" t="n">
        <v>36</v>
      </c>
      <c r="O148" s="4" t="n">
        <v>17.93</v>
      </c>
      <c r="P148" s="5" t="n">
        <v>0</v>
      </c>
      <c r="Q148" s="4" t="n">
        <f aca="false">N148*O148*(1-P148)</f>
        <v>645.48</v>
      </c>
      <c r="R148" s="4" t="n">
        <f aca="false">Q148*0.7252</f>
        <v>468.102096</v>
      </c>
      <c r="S148" s="4" t="n">
        <f aca="false">Q148-R148</f>
        <v>177.377904</v>
      </c>
      <c r="T148" s="2" t="n">
        <v>3.6</v>
      </c>
    </row>
    <row r="149" customFormat="false" ht="15" hidden="false" customHeight="false" outlineLevel="0" collapsed="false">
      <c r="A149" s="6" t="s">
        <v>411</v>
      </c>
      <c r="B149" s="7" t="n">
        <v>45594</v>
      </c>
      <c r="C149" s="7" t="n">
        <v>45604</v>
      </c>
      <c r="D149" s="6" t="s">
        <v>350</v>
      </c>
      <c r="E149" s="6" t="s">
        <v>80</v>
      </c>
      <c r="F149" s="6" t="s">
        <v>60</v>
      </c>
      <c r="G149" s="6" t="s">
        <v>67</v>
      </c>
      <c r="H149" s="6" t="s">
        <v>25</v>
      </c>
      <c r="I149" s="6" t="s">
        <v>267</v>
      </c>
      <c r="J149" s="6" t="s">
        <v>70</v>
      </c>
      <c r="K149" s="6" t="s">
        <v>28</v>
      </c>
      <c r="L149" s="6" t="s">
        <v>29</v>
      </c>
      <c r="M149" s="6" t="s">
        <v>137</v>
      </c>
      <c r="N149" s="6" t="n">
        <v>60</v>
      </c>
      <c r="O149" s="8" t="n">
        <v>1340.2</v>
      </c>
      <c r="P149" s="9" t="n">
        <v>0</v>
      </c>
      <c r="Q149" s="8" t="n">
        <f aca="false">N149*O149*(1-P149)</f>
        <v>80412</v>
      </c>
      <c r="R149" s="8" t="n">
        <f aca="false">Q149*0.5911</f>
        <v>47531.5332</v>
      </c>
      <c r="S149" s="8" t="n">
        <f aca="false">Q149-R149</f>
        <v>32880.4668</v>
      </c>
      <c r="T149" s="6" t="n">
        <v>2.7</v>
      </c>
    </row>
    <row r="150" customFormat="false" ht="15" hidden="false" customHeight="false" outlineLevel="0" collapsed="false">
      <c r="A150" s="2" t="s">
        <v>412</v>
      </c>
      <c r="B150" s="3" t="n">
        <v>44936</v>
      </c>
      <c r="C150" s="3" t="n">
        <v>44941</v>
      </c>
      <c r="D150" s="2" t="s">
        <v>413</v>
      </c>
      <c r="E150" s="2" t="s">
        <v>80</v>
      </c>
      <c r="F150" s="2" t="s">
        <v>43</v>
      </c>
      <c r="G150" s="2" t="s">
        <v>150</v>
      </c>
      <c r="H150" s="2" t="s">
        <v>45</v>
      </c>
      <c r="I150" s="2" t="s">
        <v>414</v>
      </c>
      <c r="J150" s="2" t="s">
        <v>76</v>
      </c>
      <c r="K150" s="2" t="s">
        <v>28</v>
      </c>
      <c r="L150" s="2" t="s">
        <v>48</v>
      </c>
      <c r="M150" s="2" t="s">
        <v>137</v>
      </c>
      <c r="N150" s="2" t="n">
        <v>146</v>
      </c>
      <c r="O150" s="4" t="n">
        <v>1508.94</v>
      </c>
      <c r="P150" s="5" t="n">
        <v>0.15</v>
      </c>
      <c r="Q150" s="4" t="n">
        <f aca="false">N150*O150*(1-P150)</f>
        <v>187259.454</v>
      </c>
      <c r="R150" s="4" t="n">
        <f aca="false">Q150*0.6714</f>
        <v>125725.9974156</v>
      </c>
      <c r="S150" s="4" t="n">
        <f aca="false">Q150-R150</f>
        <v>61533.4565844</v>
      </c>
      <c r="T150" s="2" t="n">
        <v>2.8</v>
      </c>
    </row>
    <row r="151" customFormat="false" ht="15" hidden="false" customHeight="false" outlineLevel="0" collapsed="false">
      <c r="A151" s="6" t="s">
        <v>415</v>
      </c>
      <c r="B151" s="7" t="n">
        <v>45093</v>
      </c>
      <c r="C151" s="7" t="n">
        <v>45105</v>
      </c>
      <c r="D151" s="6" t="s">
        <v>416</v>
      </c>
      <c r="E151" s="6" t="s">
        <v>95</v>
      </c>
      <c r="F151" s="6" t="s">
        <v>34</v>
      </c>
      <c r="G151" s="6" t="s">
        <v>128</v>
      </c>
      <c r="H151" s="6" t="s">
        <v>62</v>
      </c>
      <c r="I151" s="6" t="s">
        <v>132</v>
      </c>
      <c r="J151" s="6" t="s">
        <v>70</v>
      </c>
      <c r="K151" s="6" t="s">
        <v>28</v>
      </c>
      <c r="L151" s="6" t="s">
        <v>29</v>
      </c>
      <c r="M151" s="6" t="s">
        <v>49</v>
      </c>
      <c r="N151" s="6" t="n">
        <v>118</v>
      </c>
      <c r="O151" s="8" t="n">
        <v>1622.47</v>
      </c>
      <c r="P151" s="9" t="n">
        <v>0</v>
      </c>
      <c r="Q151" s="8" t="n">
        <f aca="false">N151*O151*(1-P151)</f>
        <v>191451.46</v>
      </c>
      <c r="R151" s="8" t="n">
        <f aca="false">Q151*0.5877</f>
        <v>112516.023042</v>
      </c>
      <c r="S151" s="8" t="n">
        <f aca="false">Q151-R151</f>
        <v>78935.436958</v>
      </c>
      <c r="T151" s="6" t="n">
        <v>3.9</v>
      </c>
    </row>
    <row r="152" customFormat="false" ht="15" hidden="false" customHeight="false" outlineLevel="0" collapsed="false">
      <c r="A152" s="22" t="s">
        <v>417</v>
      </c>
      <c r="B152" s="23" t="n">
        <v>45454</v>
      </c>
      <c r="C152" s="23" t="n">
        <v>45460</v>
      </c>
      <c r="D152" s="22" t="s">
        <v>418</v>
      </c>
      <c r="E152" s="22" t="s">
        <v>99</v>
      </c>
      <c r="F152" s="22" t="s">
        <v>53</v>
      </c>
      <c r="G152" s="22" t="s">
        <v>54</v>
      </c>
      <c r="H152" s="22" t="s">
        <v>25</v>
      </c>
      <c r="I152" s="22" t="s">
        <v>267</v>
      </c>
      <c r="J152" s="22" t="s">
        <v>38</v>
      </c>
      <c r="K152" s="22" t="s">
        <v>84</v>
      </c>
      <c r="L152" s="22" t="s">
        <v>39</v>
      </c>
      <c r="M152" s="22" t="s">
        <v>114</v>
      </c>
      <c r="N152" s="22" t="n">
        <v>23</v>
      </c>
      <c r="O152" s="24" t="n">
        <v>1005.08</v>
      </c>
      <c r="P152" s="25" t="n">
        <v>0</v>
      </c>
      <c r="Q152" s="24" t="n">
        <f aca="false">N152*O152*(1-P152)</f>
        <v>23116.84</v>
      </c>
      <c r="R152" s="24" t="n">
        <f aca="false">Q152*0.6284</f>
        <v>14526.622256</v>
      </c>
      <c r="S152" s="24" t="n">
        <f aca="false">Q152-R152</f>
        <v>8590.217744</v>
      </c>
      <c r="T152" s="22"/>
    </row>
    <row r="153" customFormat="false" ht="15" hidden="false" customHeight="false" outlineLevel="0" collapsed="false">
      <c r="A153" s="6" t="s">
        <v>419</v>
      </c>
      <c r="B153" s="7" t="n">
        <v>45264</v>
      </c>
      <c r="C153" s="7" t="n">
        <v>45269</v>
      </c>
      <c r="D153" s="6" t="s">
        <v>420</v>
      </c>
      <c r="E153" s="6" t="s">
        <v>272</v>
      </c>
      <c r="F153" s="6" t="s">
        <v>43</v>
      </c>
      <c r="G153" s="6" t="s">
        <v>125</v>
      </c>
      <c r="H153" s="6" t="s">
        <v>68</v>
      </c>
      <c r="I153" s="6" t="s">
        <v>202</v>
      </c>
      <c r="J153" s="6" t="s">
        <v>70</v>
      </c>
      <c r="K153" s="6" t="s">
        <v>28</v>
      </c>
      <c r="L153" s="6" t="s">
        <v>39</v>
      </c>
      <c r="M153" s="6" t="s">
        <v>49</v>
      </c>
      <c r="N153" s="6" t="n">
        <v>150</v>
      </c>
      <c r="O153" s="8" t="n">
        <v>1808.59</v>
      </c>
      <c r="P153" s="9" t="n">
        <v>0</v>
      </c>
      <c r="Q153" s="8" t="n">
        <f aca="false">N153*O153*(1-P153)</f>
        <v>271288.5</v>
      </c>
      <c r="R153" s="8" t="n">
        <f aca="false">Q153*0.6792</f>
        <v>184259.1492</v>
      </c>
      <c r="S153" s="8" t="n">
        <f aca="false">Q153-R153</f>
        <v>87029.3508</v>
      </c>
      <c r="T153" s="6" t="n">
        <v>3.6</v>
      </c>
    </row>
    <row r="154" customFormat="false" ht="15" hidden="false" customHeight="false" outlineLevel="0" collapsed="false">
      <c r="A154" s="2" t="s">
        <v>421</v>
      </c>
      <c r="B154" s="3" t="n">
        <v>45581</v>
      </c>
      <c r="C154" s="3" t="n">
        <v>45586</v>
      </c>
      <c r="D154" s="2" t="s">
        <v>422</v>
      </c>
      <c r="E154" s="2" t="s">
        <v>95</v>
      </c>
      <c r="F154" s="2" t="s">
        <v>43</v>
      </c>
      <c r="G154" s="2" t="s">
        <v>150</v>
      </c>
      <c r="H154" s="2" t="s">
        <v>25</v>
      </c>
      <c r="I154" s="2" t="s">
        <v>423</v>
      </c>
      <c r="J154" s="2" t="s">
        <v>70</v>
      </c>
      <c r="K154" s="2" t="s">
        <v>28</v>
      </c>
      <c r="L154" s="2" t="s">
        <v>48</v>
      </c>
      <c r="M154" s="2" t="s">
        <v>137</v>
      </c>
      <c r="N154" s="2" t="n">
        <v>95</v>
      </c>
      <c r="O154" s="4" t="n">
        <v>1538.49</v>
      </c>
      <c r="P154" s="5" t="n">
        <v>0.05</v>
      </c>
      <c r="Q154" s="4" t="n">
        <f aca="false">N154*O154*(1-P154)</f>
        <v>138848.7225</v>
      </c>
      <c r="R154" s="4" t="n">
        <f aca="false">Q154*0.7068</f>
        <v>98138.277063</v>
      </c>
      <c r="S154" s="4" t="n">
        <f aca="false">Q154-R154</f>
        <v>40710.445437</v>
      </c>
      <c r="T154" s="2" t="n">
        <v>2.9</v>
      </c>
    </row>
    <row r="155" customFormat="false" ht="15" hidden="false" customHeight="false" outlineLevel="0" collapsed="false">
      <c r="A155" s="6" t="s">
        <v>424</v>
      </c>
      <c r="B155" s="7" t="n">
        <v>45623</v>
      </c>
      <c r="C155" s="7" t="n">
        <v>45636</v>
      </c>
      <c r="D155" s="6" t="s">
        <v>425</v>
      </c>
      <c r="E155" s="6" t="s">
        <v>140</v>
      </c>
      <c r="F155" s="6" t="s">
        <v>60</v>
      </c>
      <c r="G155" s="6" t="s">
        <v>61</v>
      </c>
      <c r="H155" s="6" t="s">
        <v>82</v>
      </c>
      <c r="I155" s="6" t="s">
        <v>169</v>
      </c>
      <c r="J155" s="6" t="s">
        <v>76</v>
      </c>
      <c r="K155" s="6" t="s">
        <v>55</v>
      </c>
      <c r="L155" s="6" t="s">
        <v>77</v>
      </c>
      <c r="M155" s="6" t="s">
        <v>56</v>
      </c>
      <c r="N155" s="6" t="n">
        <v>153</v>
      </c>
      <c r="O155" s="8" t="n">
        <v>2183.47</v>
      </c>
      <c r="P155" s="9" t="n">
        <v>0</v>
      </c>
      <c r="Q155" s="8" t="n">
        <f aca="false">N155*O155*(1-P155)</f>
        <v>334070.91</v>
      </c>
      <c r="R155" s="8" t="n">
        <f aca="false">Q155*0.7088</f>
        <v>236789.461008</v>
      </c>
      <c r="S155" s="8" t="n">
        <f aca="false">Q155-R155</f>
        <v>97281.448992</v>
      </c>
      <c r="T155" s="6"/>
    </row>
    <row r="156" customFormat="false" ht="15" hidden="false" customHeight="false" outlineLevel="0" collapsed="false">
      <c r="A156" s="18" t="s">
        <v>426</v>
      </c>
      <c r="B156" s="19" t="n">
        <v>45476</v>
      </c>
      <c r="C156" s="19" t="n">
        <v>45479</v>
      </c>
      <c r="D156" s="18" t="s">
        <v>427</v>
      </c>
      <c r="E156" s="18" t="s">
        <v>42</v>
      </c>
      <c r="F156" s="18" t="s">
        <v>60</v>
      </c>
      <c r="G156" s="18" t="s">
        <v>61</v>
      </c>
      <c r="H156" s="18" t="s">
        <v>109</v>
      </c>
      <c r="I156" s="18" t="s">
        <v>121</v>
      </c>
      <c r="J156" s="18" t="s">
        <v>47</v>
      </c>
      <c r="K156" s="18" t="s">
        <v>55</v>
      </c>
      <c r="L156" s="18" t="s">
        <v>77</v>
      </c>
      <c r="M156" s="18" t="s">
        <v>30</v>
      </c>
      <c r="N156" s="18" t="n">
        <v>43</v>
      </c>
      <c r="O156" s="20" t="n">
        <v>823.65</v>
      </c>
      <c r="P156" s="21" t="n">
        <v>0.25</v>
      </c>
      <c r="Q156" s="20" t="n">
        <f aca="false">N156*O156*(1-P156)</f>
        <v>26562.7125</v>
      </c>
      <c r="R156" s="20" t="n">
        <f aca="false">Q156*0.5979</f>
        <v>15881.84580375</v>
      </c>
      <c r="S156" s="20" t="n">
        <f aca="false">Q156-R156</f>
        <v>10680.86669625</v>
      </c>
      <c r="T156" s="18"/>
    </row>
    <row r="157" customFormat="false" ht="15" hidden="false" customHeight="false" outlineLevel="0" collapsed="false">
      <c r="A157" s="6" t="s">
        <v>428</v>
      </c>
      <c r="B157" s="7" t="n">
        <v>45062</v>
      </c>
      <c r="C157" s="7" t="n">
        <v>45071</v>
      </c>
      <c r="D157" s="6" t="s">
        <v>429</v>
      </c>
      <c r="E157" s="6" t="s">
        <v>140</v>
      </c>
      <c r="F157" s="6" t="s">
        <v>43</v>
      </c>
      <c r="G157" s="6" t="s">
        <v>81</v>
      </c>
      <c r="H157" s="6" t="s">
        <v>82</v>
      </c>
      <c r="I157" s="6" t="s">
        <v>83</v>
      </c>
      <c r="J157" s="6" t="s">
        <v>38</v>
      </c>
      <c r="K157" s="6" t="s">
        <v>28</v>
      </c>
      <c r="L157" s="6" t="s">
        <v>29</v>
      </c>
      <c r="M157" s="6" t="s">
        <v>114</v>
      </c>
      <c r="N157" s="6" t="n">
        <v>107</v>
      </c>
      <c r="O157" s="8" t="n">
        <v>1144.71</v>
      </c>
      <c r="P157" s="9" t="n">
        <v>0</v>
      </c>
      <c r="Q157" s="8" t="n">
        <f aca="false">N157*O157*(1-P157)</f>
        <v>122483.97</v>
      </c>
      <c r="R157" s="8" t="n">
        <f aca="false">Q157*0.6272</f>
        <v>76821.945984</v>
      </c>
      <c r="S157" s="8" t="n">
        <f aca="false">Q157-R157</f>
        <v>45662.024016</v>
      </c>
      <c r="T157" s="6" t="n">
        <v>3.7</v>
      </c>
    </row>
    <row r="158" customFormat="false" ht="15" hidden="false" customHeight="false" outlineLevel="0" collapsed="false">
      <c r="A158" s="18" t="s">
        <v>430</v>
      </c>
      <c r="B158" s="19" t="n">
        <v>45360</v>
      </c>
      <c r="C158" s="19" t="n">
        <v>45366</v>
      </c>
      <c r="D158" s="18" t="s">
        <v>431</v>
      </c>
      <c r="E158" s="18" t="s">
        <v>108</v>
      </c>
      <c r="F158" s="18" t="s">
        <v>53</v>
      </c>
      <c r="G158" s="18" t="s">
        <v>117</v>
      </c>
      <c r="H158" s="18" t="s">
        <v>82</v>
      </c>
      <c r="I158" s="18" t="s">
        <v>105</v>
      </c>
      <c r="J158" s="18" t="s">
        <v>47</v>
      </c>
      <c r="K158" s="18" t="s">
        <v>55</v>
      </c>
      <c r="L158" s="18" t="s">
        <v>29</v>
      </c>
      <c r="M158" s="18" t="s">
        <v>137</v>
      </c>
      <c r="N158" s="18" t="n">
        <v>180</v>
      </c>
      <c r="O158" s="20" t="n">
        <v>164.08</v>
      </c>
      <c r="P158" s="21" t="n">
        <v>0</v>
      </c>
      <c r="Q158" s="20" t="n">
        <f aca="false">N158*O158*(1-P158)</f>
        <v>29534.4</v>
      </c>
      <c r="R158" s="20" t="n">
        <f aca="false">Q158*0.5982</f>
        <v>17667.47808</v>
      </c>
      <c r="S158" s="20" t="n">
        <f aca="false">Q158-R158</f>
        <v>11866.92192</v>
      </c>
      <c r="T158" s="18"/>
    </row>
    <row r="159" customFormat="false" ht="15" hidden="false" customHeight="false" outlineLevel="0" collapsed="false">
      <c r="A159" s="6" t="s">
        <v>432</v>
      </c>
      <c r="B159" s="7" t="n">
        <v>45318</v>
      </c>
      <c r="C159" s="7" t="n">
        <v>45326</v>
      </c>
      <c r="D159" s="6" t="s">
        <v>433</v>
      </c>
      <c r="E159" s="6" t="s">
        <v>99</v>
      </c>
      <c r="F159" s="6" t="s">
        <v>60</v>
      </c>
      <c r="G159" s="6" t="s">
        <v>227</v>
      </c>
      <c r="H159" s="6" t="s">
        <v>68</v>
      </c>
      <c r="I159" s="6" t="s">
        <v>136</v>
      </c>
      <c r="J159" s="6" t="s">
        <v>27</v>
      </c>
      <c r="K159" s="6" t="s">
        <v>55</v>
      </c>
      <c r="L159" s="6" t="s">
        <v>39</v>
      </c>
      <c r="M159" s="6" t="s">
        <v>49</v>
      </c>
      <c r="N159" s="6" t="n">
        <v>97</v>
      </c>
      <c r="O159" s="8" t="n">
        <v>942.24</v>
      </c>
      <c r="P159" s="9" t="n">
        <v>0</v>
      </c>
      <c r="Q159" s="8" t="n">
        <f aca="false">N159*O159*(1-P159)</f>
        <v>91397.28</v>
      </c>
      <c r="R159" s="8" t="n">
        <f aca="false">Q159*0.6776</f>
        <v>61930.796928</v>
      </c>
      <c r="S159" s="8" t="n">
        <f aca="false">Q159-R159</f>
        <v>29466.483072</v>
      </c>
      <c r="T159" s="6"/>
    </row>
    <row r="160" customFormat="false" ht="15" hidden="false" customHeight="false" outlineLevel="0" collapsed="false">
      <c r="A160" s="18" t="s">
        <v>434</v>
      </c>
      <c r="B160" s="19" t="n">
        <v>44950</v>
      </c>
      <c r="C160" s="19" t="n">
        <v>44955</v>
      </c>
      <c r="D160" s="18" t="s">
        <v>435</v>
      </c>
      <c r="E160" s="18" t="s">
        <v>91</v>
      </c>
      <c r="F160" s="18" t="s">
        <v>23</v>
      </c>
      <c r="G160" s="18" t="s">
        <v>24</v>
      </c>
      <c r="H160" s="18" t="s">
        <v>36</v>
      </c>
      <c r="I160" s="18" t="s">
        <v>245</v>
      </c>
      <c r="J160" s="18" t="s">
        <v>27</v>
      </c>
      <c r="K160" s="18" t="s">
        <v>55</v>
      </c>
      <c r="L160" s="18" t="s">
        <v>77</v>
      </c>
      <c r="M160" s="18" t="s">
        <v>137</v>
      </c>
      <c r="N160" s="18" t="n">
        <v>119</v>
      </c>
      <c r="O160" s="20" t="n">
        <v>1685.38</v>
      </c>
      <c r="P160" s="21" t="n">
        <v>0.2</v>
      </c>
      <c r="Q160" s="20" t="n">
        <f aca="false">N160*O160*(1-P160)</f>
        <v>160448.176</v>
      </c>
      <c r="R160" s="20" t="n">
        <f aca="false">Q160*0.5642</f>
        <v>90524.8608992</v>
      </c>
      <c r="S160" s="20" t="n">
        <f aca="false">Q160-R160</f>
        <v>69923.3151008</v>
      </c>
      <c r="T160" s="18"/>
    </row>
    <row r="161" customFormat="false" ht="15" hidden="false" customHeight="false" outlineLevel="0" collapsed="false">
      <c r="A161" s="6" t="s">
        <v>436</v>
      </c>
      <c r="B161" s="7" t="n">
        <v>45603</v>
      </c>
      <c r="C161" s="7" t="n">
        <v>45610</v>
      </c>
      <c r="D161" s="6" t="s">
        <v>437</v>
      </c>
      <c r="E161" s="6" t="s">
        <v>59</v>
      </c>
      <c r="F161" s="6" t="s">
        <v>60</v>
      </c>
      <c r="G161" s="6" t="s">
        <v>113</v>
      </c>
      <c r="H161" s="6" t="s">
        <v>62</v>
      </c>
      <c r="I161" s="6" t="s">
        <v>75</v>
      </c>
      <c r="J161" s="6" t="s">
        <v>27</v>
      </c>
      <c r="K161" s="6" t="s">
        <v>28</v>
      </c>
      <c r="L161" s="6" t="s">
        <v>29</v>
      </c>
      <c r="M161" s="6" t="s">
        <v>137</v>
      </c>
      <c r="N161" s="6" t="n">
        <v>158</v>
      </c>
      <c r="O161" s="8" t="n">
        <v>1916.3</v>
      </c>
      <c r="P161" s="9" t="n">
        <v>0</v>
      </c>
      <c r="Q161" s="8" t="n">
        <f aca="false">N161*O161*(1-P161)</f>
        <v>302775.4</v>
      </c>
      <c r="R161" s="8" t="n">
        <f aca="false">Q161*0.7277</f>
        <v>220329.65858</v>
      </c>
      <c r="S161" s="8" t="n">
        <f aca="false">Q161-R161</f>
        <v>82445.74142</v>
      </c>
      <c r="T161" s="6" t="n">
        <v>1.8</v>
      </c>
    </row>
    <row r="162" customFormat="false" ht="15" hidden="false" customHeight="false" outlineLevel="0" collapsed="false">
      <c r="A162" s="2" t="s">
        <v>438</v>
      </c>
      <c r="B162" s="3" t="n">
        <v>45376</v>
      </c>
      <c r="C162" s="3" t="n">
        <v>45380</v>
      </c>
      <c r="D162" s="2" t="s">
        <v>439</v>
      </c>
      <c r="E162" s="2" t="s">
        <v>52</v>
      </c>
      <c r="F162" s="2" t="s">
        <v>23</v>
      </c>
      <c r="G162" s="2" t="s">
        <v>100</v>
      </c>
      <c r="H162" s="2" t="s">
        <v>109</v>
      </c>
      <c r="I162" s="2" t="s">
        <v>92</v>
      </c>
      <c r="J162" s="2" t="s">
        <v>47</v>
      </c>
      <c r="K162" s="2" t="s">
        <v>28</v>
      </c>
      <c r="L162" s="2" t="s">
        <v>29</v>
      </c>
      <c r="M162" s="2" t="s">
        <v>114</v>
      </c>
      <c r="N162" s="2" t="n">
        <v>139</v>
      </c>
      <c r="O162" s="4" t="n">
        <v>547.09</v>
      </c>
      <c r="P162" s="5" t="n">
        <v>0</v>
      </c>
      <c r="Q162" s="4" t="n">
        <f aca="false">N162*O162*(1-P162)</f>
        <v>76045.51</v>
      </c>
      <c r="R162" s="4" t="n">
        <f aca="false">Q162*0.5524</f>
        <v>42007.539724</v>
      </c>
      <c r="S162" s="4" t="n">
        <f aca="false">Q162-R162</f>
        <v>34037.970276</v>
      </c>
      <c r="T162" s="2" t="n">
        <v>3</v>
      </c>
    </row>
    <row r="163" customFormat="false" ht="15" hidden="false" customHeight="false" outlineLevel="0" collapsed="false">
      <c r="A163" s="6" t="s">
        <v>440</v>
      </c>
      <c r="B163" s="7" t="n">
        <v>45236</v>
      </c>
      <c r="C163" s="6"/>
      <c r="D163" s="6" t="s">
        <v>441</v>
      </c>
      <c r="E163" s="6" t="s">
        <v>59</v>
      </c>
      <c r="F163" s="6" t="s">
        <v>53</v>
      </c>
      <c r="G163" s="6" t="s">
        <v>135</v>
      </c>
      <c r="H163" s="6" t="s">
        <v>45</v>
      </c>
      <c r="I163" s="6" t="s">
        <v>109</v>
      </c>
      <c r="J163" s="6" t="s">
        <v>38</v>
      </c>
      <c r="K163" s="6" t="s">
        <v>64</v>
      </c>
      <c r="L163" s="6" t="s">
        <v>48</v>
      </c>
      <c r="M163" s="6" t="s">
        <v>56</v>
      </c>
      <c r="N163" s="6" t="n">
        <v>37</v>
      </c>
      <c r="O163" s="8" t="n">
        <v>2464.31</v>
      </c>
      <c r="P163" s="9" t="n">
        <v>0.05</v>
      </c>
      <c r="Q163" s="8" t="n">
        <f aca="false">N163*O163*(1-P163)</f>
        <v>86620.4965</v>
      </c>
      <c r="R163" s="8" t="n">
        <f aca="false">Q163*0.6222</f>
        <v>53895.2729223</v>
      </c>
      <c r="S163" s="8" t="n">
        <f aca="false">Q163-R163</f>
        <v>32725.2235777</v>
      </c>
      <c r="T163" s="6"/>
    </row>
    <row r="164" customFormat="false" ht="15" hidden="false" customHeight="false" outlineLevel="0" collapsed="false">
      <c r="A164" s="10" t="s">
        <v>442</v>
      </c>
      <c r="B164" s="11" t="n">
        <v>45434</v>
      </c>
      <c r="C164" s="10"/>
      <c r="D164" s="10" t="s">
        <v>443</v>
      </c>
      <c r="E164" s="10" t="s">
        <v>52</v>
      </c>
      <c r="F164" s="10" t="s">
        <v>53</v>
      </c>
      <c r="G164" s="10" t="s">
        <v>252</v>
      </c>
      <c r="H164" s="10" t="s">
        <v>109</v>
      </c>
      <c r="I164" s="10" t="s">
        <v>121</v>
      </c>
      <c r="J164" s="10" t="s">
        <v>27</v>
      </c>
      <c r="K164" s="10" t="s">
        <v>64</v>
      </c>
      <c r="L164" s="10" t="s">
        <v>39</v>
      </c>
      <c r="M164" s="10" t="s">
        <v>30</v>
      </c>
      <c r="N164" s="10" t="n">
        <v>13</v>
      </c>
      <c r="O164" s="12" t="n">
        <v>2430.86</v>
      </c>
      <c r="P164" s="13" t="n">
        <v>0.2</v>
      </c>
      <c r="Q164" s="12" t="n">
        <f aca="false">N164*O164*(1-P164)</f>
        <v>25280.944</v>
      </c>
      <c r="R164" s="12" t="n">
        <f aca="false">Q164*0.6133</f>
        <v>15504.8029552</v>
      </c>
      <c r="S164" s="12" t="n">
        <f aca="false">Q164-R164</f>
        <v>9776.1410448</v>
      </c>
      <c r="T164" s="10"/>
    </row>
    <row r="165" customFormat="false" ht="15" hidden="false" customHeight="false" outlineLevel="0" collapsed="false">
      <c r="A165" s="6" t="s">
        <v>444</v>
      </c>
      <c r="B165" s="7" t="n">
        <v>45157</v>
      </c>
      <c r="C165" s="7" t="n">
        <v>45162</v>
      </c>
      <c r="D165" s="6" t="s">
        <v>445</v>
      </c>
      <c r="E165" s="6" t="s">
        <v>124</v>
      </c>
      <c r="F165" s="6" t="s">
        <v>53</v>
      </c>
      <c r="G165" s="6" t="s">
        <v>191</v>
      </c>
      <c r="H165" s="6" t="s">
        <v>82</v>
      </c>
      <c r="I165" s="6" t="s">
        <v>186</v>
      </c>
      <c r="J165" s="6" t="s">
        <v>76</v>
      </c>
      <c r="K165" s="6" t="s">
        <v>28</v>
      </c>
      <c r="L165" s="6" t="s">
        <v>39</v>
      </c>
      <c r="M165" s="6" t="s">
        <v>56</v>
      </c>
      <c r="N165" s="6" t="n">
        <v>182</v>
      </c>
      <c r="O165" s="8" t="n">
        <v>365.16</v>
      </c>
      <c r="P165" s="9" t="n">
        <v>0.25</v>
      </c>
      <c r="Q165" s="8" t="n">
        <f aca="false">N165*O165*(1-P165)</f>
        <v>49844.34</v>
      </c>
      <c r="R165" s="8" t="n">
        <f aca="false">Q165*0.6274</f>
        <v>31272.338916</v>
      </c>
      <c r="S165" s="8" t="n">
        <f aca="false">Q165-R165</f>
        <v>18572.001084</v>
      </c>
      <c r="T165" s="6" t="n">
        <v>3.2</v>
      </c>
    </row>
    <row r="166" customFormat="false" ht="15" hidden="false" customHeight="false" outlineLevel="0" collapsed="false">
      <c r="A166" s="2" t="s">
        <v>446</v>
      </c>
      <c r="B166" s="3" t="n">
        <v>45306</v>
      </c>
      <c r="C166" s="3" t="n">
        <v>45308</v>
      </c>
      <c r="D166" s="2" t="s">
        <v>447</v>
      </c>
      <c r="E166" s="2" t="s">
        <v>124</v>
      </c>
      <c r="F166" s="2" t="s">
        <v>60</v>
      </c>
      <c r="G166" s="2" t="s">
        <v>113</v>
      </c>
      <c r="H166" s="2" t="s">
        <v>82</v>
      </c>
      <c r="I166" s="2" t="s">
        <v>186</v>
      </c>
      <c r="J166" s="2" t="s">
        <v>27</v>
      </c>
      <c r="K166" s="2" t="s">
        <v>28</v>
      </c>
      <c r="L166" s="2" t="s">
        <v>29</v>
      </c>
      <c r="M166" s="2" t="s">
        <v>114</v>
      </c>
      <c r="N166" s="2" t="n">
        <v>138</v>
      </c>
      <c r="O166" s="4" t="n">
        <v>1812.84</v>
      </c>
      <c r="P166" s="5" t="n">
        <v>0.05</v>
      </c>
      <c r="Q166" s="4" t="n">
        <f aca="false">N166*O166*(1-P166)</f>
        <v>237663.324</v>
      </c>
      <c r="R166" s="4" t="n">
        <f aca="false">Q166*0.7178</f>
        <v>170594.7339672</v>
      </c>
      <c r="S166" s="4" t="n">
        <f aca="false">Q166-R166</f>
        <v>67068.5900328</v>
      </c>
      <c r="T166" s="2" t="n">
        <v>2.1</v>
      </c>
    </row>
    <row r="167" customFormat="false" ht="15" hidden="false" customHeight="false" outlineLevel="0" collapsed="false">
      <c r="A167" s="6" t="s">
        <v>448</v>
      </c>
      <c r="B167" s="7" t="n">
        <v>45140</v>
      </c>
      <c r="C167" s="7" t="n">
        <v>45154</v>
      </c>
      <c r="D167" s="6" t="s">
        <v>449</v>
      </c>
      <c r="E167" s="6" t="s">
        <v>22</v>
      </c>
      <c r="F167" s="6" t="s">
        <v>34</v>
      </c>
      <c r="G167" s="6" t="s">
        <v>35</v>
      </c>
      <c r="H167" s="6" t="s">
        <v>45</v>
      </c>
      <c r="I167" s="6" t="s">
        <v>157</v>
      </c>
      <c r="J167" s="6" t="s">
        <v>38</v>
      </c>
      <c r="K167" s="6" t="s">
        <v>55</v>
      </c>
      <c r="L167" s="6" t="s">
        <v>77</v>
      </c>
      <c r="M167" s="6" t="s">
        <v>114</v>
      </c>
      <c r="N167" s="6" t="n">
        <v>86</v>
      </c>
      <c r="O167" s="8" t="n">
        <v>761.45</v>
      </c>
      <c r="P167" s="9" t="n">
        <v>0</v>
      </c>
      <c r="Q167" s="8" t="n">
        <f aca="false">N167*O167*(1-P167)</f>
        <v>65484.7</v>
      </c>
      <c r="R167" s="8" t="n">
        <f aca="false">Q167*0.6342</f>
        <v>41530.39674</v>
      </c>
      <c r="S167" s="8" t="n">
        <f aca="false">Q167-R167</f>
        <v>23954.30326</v>
      </c>
      <c r="T167" s="6"/>
    </row>
    <row r="168" customFormat="false" ht="15" hidden="false" customHeight="false" outlineLevel="0" collapsed="false">
      <c r="A168" s="10" t="s">
        <v>450</v>
      </c>
      <c r="B168" s="11" t="n">
        <v>45172</v>
      </c>
      <c r="C168" s="10"/>
      <c r="D168" s="10" t="s">
        <v>451</v>
      </c>
      <c r="E168" s="10" t="s">
        <v>140</v>
      </c>
      <c r="F168" s="10" t="s">
        <v>43</v>
      </c>
      <c r="G168" s="10" t="s">
        <v>150</v>
      </c>
      <c r="H168" s="10" t="s">
        <v>25</v>
      </c>
      <c r="I168" s="10" t="s">
        <v>175</v>
      </c>
      <c r="J168" s="10" t="s">
        <v>27</v>
      </c>
      <c r="K168" s="10" t="s">
        <v>64</v>
      </c>
      <c r="L168" s="10" t="s">
        <v>77</v>
      </c>
      <c r="M168" s="10" t="s">
        <v>114</v>
      </c>
      <c r="N168" s="10" t="n">
        <v>142</v>
      </c>
      <c r="O168" s="12" t="n">
        <v>807.43</v>
      </c>
      <c r="P168" s="13" t="n">
        <v>0.1</v>
      </c>
      <c r="Q168" s="12" t="n">
        <f aca="false">N168*O168*(1-P168)</f>
        <v>103189.554</v>
      </c>
      <c r="R168" s="12" t="n">
        <f aca="false">Q168*0.6593</f>
        <v>68032.8729522</v>
      </c>
      <c r="S168" s="12" t="n">
        <f aca="false">Q168-R168</f>
        <v>35156.6810478</v>
      </c>
      <c r="T168" s="10"/>
    </row>
    <row r="169" customFormat="false" ht="15" hidden="false" customHeight="false" outlineLevel="0" collapsed="false">
      <c r="A169" s="6" t="s">
        <v>452</v>
      </c>
      <c r="B169" s="7" t="n">
        <v>45407</v>
      </c>
      <c r="C169" s="7" t="n">
        <v>45420</v>
      </c>
      <c r="D169" s="6" t="s">
        <v>453</v>
      </c>
      <c r="E169" s="6" t="s">
        <v>59</v>
      </c>
      <c r="F169" s="6" t="s">
        <v>60</v>
      </c>
      <c r="G169" s="6" t="s">
        <v>61</v>
      </c>
      <c r="H169" s="6" t="s">
        <v>68</v>
      </c>
      <c r="I169" s="6" t="s">
        <v>151</v>
      </c>
      <c r="J169" s="6" t="s">
        <v>38</v>
      </c>
      <c r="K169" s="6" t="s">
        <v>84</v>
      </c>
      <c r="L169" s="6" t="s">
        <v>39</v>
      </c>
      <c r="M169" s="6" t="s">
        <v>137</v>
      </c>
      <c r="N169" s="6" t="n">
        <v>82</v>
      </c>
      <c r="O169" s="8" t="n">
        <v>2286.25</v>
      </c>
      <c r="P169" s="9" t="n">
        <v>0.15</v>
      </c>
      <c r="Q169" s="8" t="n">
        <f aca="false">N169*O169*(1-P169)</f>
        <v>159351.625</v>
      </c>
      <c r="R169" s="8" t="n">
        <f aca="false">Q169*0.5846</f>
        <v>93156.959975</v>
      </c>
      <c r="S169" s="8" t="n">
        <f aca="false">Q169-R169</f>
        <v>66194.665025</v>
      </c>
      <c r="T169" s="6"/>
    </row>
    <row r="170" customFormat="false" ht="15" hidden="false" customHeight="false" outlineLevel="0" collapsed="false">
      <c r="A170" s="2" t="s">
        <v>454</v>
      </c>
      <c r="B170" s="3" t="n">
        <v>45083</v>
      </c>
      <c r="C170" s="3" t="n">
        <v>45087</v>
      </c>
      <c r="D170" s="2" t="s">
        <v>455</v>
      </c>
      <c r="E170" s="2" t="s">
        <v>33</v>
      </c>
      <c r="F170" s="2" t="s">
        <v>60</v>
      </c>
      <c r="G170" s="2" t="s">
        <v>227</v>
      </c>
      <c r="H170" s="2" t="s">
        <v>36</v>
      </c>
      <c r="I170" s="2" t="s">
        <v>37</v>
      </c>
      <c r="J170" s="2" t="s">
        <v>27</v>
      </c>
      <c r="K170" s="2" t="s">
        <v>28</v>
      </c>
      <c r="L170" s="2" t="s">
        <v>39</v>
      </c>
      <c r="M170" s="2" t="s">
        <v>49</v>
      </c>
      <c r="N170" s="2" t="n">
        <v>85</v>
      </c>
      <c r="O170" s="4" t="n">
        <v>578.9</v>
      </c>
      <c r="P170" s="5" t="n">
        <v>0.05</v>
      </c>
      <c r="Q170" s="4" t="n">
        <f aca="false">N170*O170*(1-P170)</f>
        <v>46746.175</v>
      </c>
      <c r="R170" s="4" t="n">
        <f aca="false">Q170*0.6442</f>
        <v>30113.885935</v>
      </c>
      <c r="S170" s="4" t="n">
        <f aca="false">Q170-R170</f>
        <v>16632.289065</v>
      </c>
      <c r="T170" s="2" t="n">
        <v>3.2</v>
      </c>
    </row>
    <row r="171" customFormat="false" ht="15" hidden="false" customHeight="false" outlineLevel="0" collapsed="false">
      <c r="A171" s="6" t="s">
        <v>456</v>
      </c>
      <c r="B171" s="7" t="n">
        <v>45070</v>
      </c>
      <c r="C171" s="7" t="n">
        <v>45082</v>
      </c>
      <c r="D171" s="6" t="s">
        <v>457</v>
      </c>
      <c r="E171" s="6" t="s">
        <v>33</v>
      </c>
      <c r="F171" s="6" t="s">
        <v>53</v>
      </c>
      <c r="G171" s="6" t="s">
        <v>252</v>
      </c>
      <c r="H171" s="6" t="s">
        <v>45</v>
      </c>
      <c r="I171" s="6" t="s">
        <v>414</v>
      </c>
      <c r="J171" s="6" t="s">
        <v>76</v>
      </c>
      <c r="K171" s="6" t="s">
        <v>28</v>
      </c>
      <c r="L171" s="6" t="s">
        <v>48</v>
      </c>
      <c r="M171" s="6" t="s">
        <v>56</v>
      </c>
      <c r="N171" s="6" t="n">
        <v>140</v>
      </c>
      <c r="O171" s="8" t="n">
        <v>1223.35</v>
      </c>
      <c r="P171" s="9" t="n">
        <v>0</v>
      </c>
      <c r="Q171" s="8" t="n">
        <f aca="false">N171*O171*(1-P171)</f>
        <v>171269</v>
      </c>
      <c r="R171" s="8" t="n">
        <f aca="false">Q171*0.7475</f>
        <v>128023.5775</v>
      </c>
      <c r="S171" s="8" t="n">
        <f aca="false">Q171-R171</f>
        <v>43245.4225</v>
      </c>
      <c r="T171" s="6" t="n">
        <v>1.1</v>
      </c>
    </row>
    <row r="172" customFormat="false" ht="15" hidden="false" customHeight="false" outlineLevel="0" collapsed="false">
      <c r="A172" s="18" t="s">
        <v>458</v>
      </c>
      <c r="B172" s="19" t="n">
        <v>45651</v>
      </c>
      <c r="C172" s="19" t="n">
        <v>45654</v>
      </c>
      <c r="D172" s="18" t="s">
        <v>459</v>
      </c>
      <c r="E172" s="18" t="s">
        <v>73</v>
      </c>
      <c r="F172" s="18" t="s">
        <v>23</v>
      </c>
      <c r="G172" s="18" t="s">
        <v>100</v>
      </c>
      <c r="H172" s="18" t="s">
        <v>109</v>
      </c>
      <c r="I172" s="18" t="s">
        <v>110</v>
      </c>
      <c r="J172" s="18" t="s">
        <v>27</v>
      </c>
      <c r="K172" s="18" t="s">
        <v>55</v>
      </c>
      <c r="L172" s="18" t="s">
        <v>77</v>
      </c>
      <c r="M172" s="18" t="s">
        <v>137</v>
      </c>
      <c r="N172" s="18" t="n">
        <v>3</v>
      </c>
      <c r="O172" s="20" t="n">
        <v>550.71</v>
      </c>
      <c r="P172" s="21" t="n">
        <v>0.25</v>
      </c>
      <c r="Q172" s="20" t="n">
        <f aca="false">N172*O172*(1-P172)</f>
        <v>1239.0975</v>
      </c>
      <c r="R172" s="20" t="n">
        <f aca="false">Q172*0.5646</f>
        <v>699.5944485</v>
      </c>
      <c r="S172" s="20" t="n">
        <f aca="false">Q172-R172</f>
        <v>539.5030515</v>
      </c>
      <c r="T172" s="18"/>
    </row>
    <row r="173" customFormat="false" ht="15" hidden="false" customHeight="false" outlineLevel="0" collapsed="false">
      <c r="A173" s="6" t="s">
        <v>460</v>
      </c>
      <c r="B173" s="7" t="n">
        <v>45471</v>
      </c>
      <c r="C173" s="6"/>
      <c r="D173" s="6" t="s">
        <v>461</v>
      </c>
      <c r="E173" s="6" t="s">
        <v>140</v>
      </c>
      <c r="F173" s="6" t="s">
        <v>23</v>
      </c>
      <c r="G173" s="6" t="s">
        <v>100</v>
      </c>
      <c r="H173" s="6" t="s">
        <v>25</v>
      </c>
      <c r="I173" s="6" t="s">
        <v>209</v>
      </c>
      <c r="J173" s="6" t="s">
        <v>76</v>
      </c>
      <c r="K173" s="6" t="s">
        <v>64</v>
      </c>
      <c r="L173" s="6" t="s">
        <v>29</v>
      </c>
      <c r="M173" s="6" t="s">
        <v>137</v>
      </c>
      <c r="N173" s="6" t="n">
        <v>142</v>
      </c>
      <c r="O173" s="8" t="n">
        <v>1031.29</v>
      </c>
      <c r="P173" s="9" t="n">
        <v>0</v>
      </c>
      <c r="Q173" s="8" t="n">
        <f aca="false">N173*O173*(1-P173)</f>
        <v>146443.18</v>
      </c>
      <c r="R173" s="8" t="n">
        <f aca="false">Q173*0.6675</f>
        <v>97750.82265</v>
      </c>
      <c r="S173" s="8" t="n">
        <f aca="false">Q173-R173</f>
        <v>48692.35735</v>
      </c>
      <c r="T173" s="6"/>
    </row>
    <row r="174" customFormat="false" ht="15" hidden="false" customHeight="false" outlineLevel="0" collapsed="false">
      <c r="A174" s="18" t="s">
        <v>462</v>
      </c>
      <c r="B174" s="19" t="n">
        <v>45025</v>
      </c>
      <c r="C174" s="19" t="n">
        <v>45034</v>
      </c>
      <c r="D174" s="18" t="s">
        <v>463</v>
      </c>
      <c r="E174" s="18" t="s">
        <v>91</v>
      </c>
      <c r="F174" s="18" t="s">
        <v>53</v>
      </c>
      <c r="G174" s="18" t="s">
        <v>54</v>
      </c>
      <c r="H174" s="18" t="s">
        <v>68</v>
      </c>
      <c r="I174" s="18" t="s">
        <v>141</v>
      </c>
      <c r="J174" s="18" t="s">
        <v>76</v>
      </c>
      <c r="K174" s="18" t="s">
        <v>55</v>
      </c>
      <c r="L174" s="18" t="s">
        <v>77</v>
      </c>
      <c r="M174" s="18" t="s">
        <v>137</v>
      </c>
      <c r="N174" s="18" t="n">
        <v>39</v>
      </c>
      <c r="O174" s="20" t="n">
        <v>606.22</v>
      </c>
      <c r="P174" s="21" t="n">
        <v>0.1</v>
      </c>
      <c r="Q174" s="20" t="n">
        <f aca="false">N174*O174*(1-P174)</f>
        <v>21278.322</v>
      </c>
      <c r="R174" s="20" t="n">
        <f aca="false">Q174*0.5528</f>
        <v>11762.6564016</v>
      </c>
      <c r="S174" s="20" t="n">
        <f aca="false">Q174-R174</f>
        <v>9515.6655984</v>
      </c>
      <c r="T174" s="18"/>
    </row>
    <row r="175" customFormat="false" ht="15" hidden="false" customHeight="false" outlineLevel="0" collapsed="false">
      <c r="A175" s="6" t="s">
        <v>464</v>
      </c>
      <c r="B175" s="7" t="n">
        <v>45627</v>
      </c>
      <c r="C175" s="6"/>
      <c r="D175" s="6" t="s">
        <v>465</v>
      </c>
      <c r="E175" s="6" t="s">
        <v>73</v>
      </c>
      <c r="F175" s="6" t="s">
        <v>53</v>
      </c>
      <c r="G175" s="6" t="s">
        <v>191</v>
      </c>
      <c r="H175" s="6" t="s">
        <v>109</v>
      </c>
      <c r="I175" s="6" t="s">
        <v>305</v>
      </c>
      <c r="J175" s="6" t="s">
        <v>76</v>
      </c>
      <c r="K175" s="6" t="s">
        <v>64</v>
      </c>
      <c r="L175" s="6" t="s">
        <v>77</v>
      </c>
      <c r="M175" s="6" t="s">
        <v>49</v>
      </c>
      <c r="N175" s="6" t="n">
        <v>21</v>
      </c>
      <c r="O175" s="8" t="n">
        <v>1636.07</v>
      </c>
      <c r="P175" s="9" t="n">
        <v>0</v>
      </c>
      <c r="Q175" s="8" t="n">
        <f aca="false">N175*O175*(1-P175)</f>
        <v>34357.47</v>
      </c>
      <c r="R175" s="8" t="n">
        <f aca="false">Q175*0.5931</f>
        <v>20377.415457</v>
      </c>
      <c r="S175" s="8" t="n">
        <f aca="false">Q175-R175</f>
        <v>13980.054543</v>
      </c>
      <c r="T175" s="6"/>
    </row>
    <row r="176" customFormat="false" ht="15" hidden="false" customHeight="false" outlineLevel="0" collapsed="false">
      <c r="A176" s="10" t="s">
        <v>466</v>
      </c>
      <c r="B176" s="11" t="n">
        <v>45438</v>
      </c>
      <c r="C176" s="10"/>
      <c r="D176" s="10" t="s">
        <v>467</v>
      </c>
      <c r="E176" s="10" t="s">
        <v>95</v>
      </c>
      <c r="F176" s="10" t="s">
        <v>60</v>
      </c>
      <c r="G176" s="10" t="s">
        <v>67</v>
      </c>
      <c r="H176" s="10" t="s">
        <v>82</v>
      </c>
      <c r="I176" s="10" t="s">
        <v>169</v>
      </c>
      <c r="J176" s="10" t="s">
        <v>47</v>
      </c>
      <c r="K176" s="10" t="s">
        <v>64</v>
      </c>
      <c r="L176" s="10" t="s">
        <v>77</v>
      </c>
      <c r="M176" s="10" t="s">
        <v>137</v>
      </c>
      <c r="N176" s="10" t="n">
        <v>112</v>
      </c>
      <c r="O176" s="12" t="n">
        <v>1614.04</v>
      </c>
      <c r="P176" s="13" t="n">
        <v>0.15</v>
      </c>
      <c r="Q176" s="12" t="n">
        <f aca="false">N176*O176*(1-P176)</f>
        <v>153656.608</v>
      </c>
      <c r="R176" s="12" t="n">
        <f aca="false">Q176*0.7345</f>
        <v>112860.778576</v>
      </c>
      <c r="S176" s="12" t="n">
        <f aca="false">Q176-R176</f>
        <v>40795.829424</v>
      </c>
      <c r="T176" s="10"/>
    </row>
    <row r="177" customFormat="false" ht="15" hidden="false" customHeight="false" outlineLevel="0" collapsed="false">
      <c r="A177" s="6" t="s">
        <v>468</v>
      </c>
      <c r="B177" s="7" t="n">
        <v>45627</v>
      </c>
      <c r="C177" s="7" t="n">
        <v>45632</v>
      </c>
      <c r="D177" s="6" t="s">
        <v>469</v>
      </c>
      <c r="E177" s="6" t="s">
        <v>140</v>
      </c>
      <c r="F177" s="6" t="s">
        <v>34</v>
      </c>
      <c r="G177" s="6" t="s">
        <v>35</v>
      </c>
      <c r="H177" s="6" t="s">
        <v>62</v>
      </c>
      <c r="I177" s="6" t="s">
        <v>118</v>
      </c>
      <c r="J177" s="6" t="s">
        <v>38</v>
      </c>
      <c r="K177" s="6" t="s">
        <v>28</v>
      </c>
      <c r="L177" s="6" t="s">
        <v>29</v>
      </c>
      <c r="M177" s="6" t="s">
        <v>137</v>
      </c>
      <c r="N177" s="6" t="n">
        <v>140</v>
      </c>
      <c r="O177" s="8" t="n">
        <v>1410.96</v>
      </c>
      <c r="P177" s="9" t="n">
        <v>0</v>
      </c>
      <c r="Q177" s="8" t="n">
        <f aca="false">N177*O177*(1-P177)</f>
        <v>197534.4</v>
      </c>
      <c r="R177" s="8" t="n">
        <f aca="false">Q177*0.7397</f>
        <v>146116.19568</v>
      </c>
      <c r="S177" s="8" t="n">
        <f aca="false">Q177-R177</f>
        <v>51418.20432</v>
      </c>
      <c r="T177" s="6" t="n">
        <v>4.7</v>
      </c>
    </row>
    <row r="178" customFormat="false" ht="15" hidden="false" customHeight="false" outlineLevel="0" collapsed="false">
      <c r="A178" s="22" t="s">
        <v>470</v>
      </c>
      <c r="B178" s="23" t="n">
        <v>45504</v>
      </c>
      <c r="C178" s="23" t="n">
        <v>45508</v>
      </c>
      <c r="D178" s="22" t="s">
        <v>471</v>
      </c>
      <c r="E178" s="22" t="s">
        <v>99</v>
      </c>
      <c r="F178" s="22" t="s">
        <v>53</v>
      </c>
      <c r="G178" s="22" t="s">
        <v>117</v>
      </c>
      <c r="H178" s="22" t="s">
        <v>62</v>
      </c>
      <c r="I178" s="22" t="s">
        <v>132</v>
      </c>
      <c r="J178" s="22" t="s">
        <v>76</v>
      </c>
      <c r="K178" s="22" t="s">
        <v>84</v>
      </c>
      <c r="L178" s="22" t="s">
        <v>48</v>
      </c>
      <c r="M178" s="22" t="s">
        <v>56</v>
      </c>
      <c r="N178" s="22" t="n">
        <v>146</v>
      </c>
      <c r="O178" s="24" t="n">
        <v>2087.45</v>
      </c>
      <c r="P178" s="25" t="n">
        <v>0.2</v>
      </c>
      <c r="Q178" s="24" t="n">
        <f aca="false">N178*O178*(1-P178)</f>
        <v>243814.16</v>
      </c>
      <c r="R178" s="24" t="n">
        <f aca="false">Q178*0.6296</f>
        <v>153505.395136</v>
      </c>
      <c r="S178" s="24" t="n">
        <f aca="false">Q178-R178</f>
        <v>90308.764864</v>
      </c>
      <c r="T178" s="22"/>
    </row>
    <row r="179" customFormat="false" ht="15" hidden="false" customHeight="false" outlineLevel="0" collapsed="false">
      <c r="A179" s="6" t="s">
        <v>472</v>
      </c>
      <c r="B179" s="7" t="n">
        <v>45027</v>
      </c>
      <c r="C179" s="7" t="n">
        <v>45034</v>
      </c>
      <c r="D179" s="6" t="s">
        <v>473</v>
      </c>
      <c r="E179" s="6" t="s">
        <v>80</v>
      </c>
      <c r="F179" s="6" t="s">
        <v>53</v>
      </c>
      <c r="G179" s="6" t="s">
        <v>191</v>
      </c>
      <c r="H179" s="6" t="s">
        <v>45</v>
      </c>
      <c r="I179" s="6" t="s">
        <v>92</v>
      </c>
      <c r="J179" s="6" t="s">
        <v>47</v>
      </c>
      <c r="K179" s="6" t="s">
        <v>28</v>
      </c>
      <c r="L179" s="6" t="s">
        <v>48</v>
      </c>
      <c r="M179" s="6" t="s">
        <v>137</v>
      </c>
      <c r="N179" s="6" t="n">
        <v>60</v>
      </c>
      <c r="O179" s="8" t="n">
        <v>2097.49</v>
      </c>
      <c r="P179" s="9" t="n">
        <v>0.15</v>
      </c>
      <c r="Q179" s="8" t="n">
        <f aca="false">N179*O179*(1-P179)</f>
        <v>106971.99</v>
      </c>
      <c r="R179" s="8" t="n">
        <f aca="false">Q179*0.6073</f>
        <v>64964.089527</v>
      </c>
      <c r="S179" s="8" t="n">
        <f aca="false">Q179-R179</f>
        <v>42007.900473</v>
      </c>
      <c r="T179" s="6" t="n">
        <v>4.9</v>
      </c>
    </row>
    <row r="180" customFormat="false" ht="15" hidden="false" customHeight="false" outlineLevel="0" collapsed="false">
      <c r="A180" s="2" t="s">
        <v>474</v>
      </c>
      <c r="B180" s="3" t="n">
        <v>45311</v>
      </c>
      <c r="C180" s="3" t="n">
        <v>45318</v>
      </c>
      <c r="D180" s="2" t="s">
        <v>475</v>
      </c>
      <c r="E180" s="2" t="s">
        <v>80</v>
      </c>
      <c r="F180" s="2" t="s">
        <v>53</v>
      </c>
      <c r="G180" s="2" t="s">
        <v>117</v>
      </c>
      <c r="H180" s="2" t="s">
        <v>25</v>
      </c>
      <c r="I180" s="2" t="s">
        <v>26</v>
      </c>
      <c r="J180" s="2" t="s">
        <v>76</v>
      </c>
      <c r="K180" s="2" t="s">
        <v>28</v>
      </c>
      <c r="L180" s="2" t="s">
        <v>48</v>
      </c>
      <c r="M180" s="2" t="s">
        <v>30</v>
      </c>
      <c r="N180" s="2" t="n">
        <v>48</v>
      </c>
      <c r="O180" s="4" t="n">
        <v>1700.84</v>
      </c>
      <c r="P180" s="5" t="n">
        <v>0.2</v>
      </c>
      <c r="Q180" s="4" t="n">
        <f aca="false">N180*O180*(1-P180)</f>
        <v>65312.256</v>
      </c>
      <c r="R180" s="4" t="n">
        <f aca="false">Q180*0.6925</f>
        <v>45228.73728</v>
      </c>
      <c r="S180" s="4" t="n">
        <f aca="false">Q180-R180</f>
        <v>20083.51872</v>
      </c>
      <c r="T180" s="2" t="n">
        <v>4.1</v>
      </c>
    </row>
    <row r="181" customFormat="false" ht="15" hidden="false" customHeight="false" outlineLevel="0" collapsed="false">
      <c r="A181" s="6" t="s">
        <v>476</v>
      </c>
      <c r="B181" s="7" t="n">
        <v>45251</v>
      </c>
      <c r="C181" s="7" t="n">
        <v>45257</v>
      </c>
      <c r="D181" s="6" t="s">
        <v>477</v>
      </c>
      <c r="E181" s="6" t="s">
        <v>42</v>
      </c>
      <c r="F181" s="6" t="s">
        <v>53</v>
      </c>
      <c r="G181" s="6" t="s">
        <v>135</v>
      </c>
      <c r="H181" s="6" t="s">
        <v>25</v>
      </c>
      <c r="I181" s="6" t="s">
        <v>423</v>
      </c>
      <c r="J181" s="6" t="s">
        <v>70</v>
      </c>
      <c r="K181" s="6" t="s">
        <v>28</v>
      </c>
      <c r="L181" s="6" t="s">
        <v>77</v>
      </c>
      <c r="M181" s="6" t="s">
        <v>114</v>
      </c>
      <c r="N181" s="6" t="n">
        <v>28</v>
      </c>
      <c r="O181" s="8" t="n">
        <v>233.34</v>
      </c>
      <c r="P181" s="9" t="n">
        <v>0.1</v>
      </c>
      <c r="Q181" s="8" t="n">
        <f aca="false">N181*O181*(1-P181)</f>
        <v>5880.168</v>
      </c>
      <c r="R181" s="8" t="n">
        <f aca="false">Q181*0.7034</f>
        <v>4136.1101712</v>
      </c>
      <c r="S181" s="8" t="n">
        <f aca="false">Q181-R181</f>
        <v>1744.0578288</v>
      </c>
      <c r="T181" s="6" t="n">
        <v>2.4</v>
      </c>
    </row>
    <row r="182" customFormat="false" ht="15" hidden="false" customHeight="false" outlineLevel="0" collapsed="false">
      <c r="A182" s="2" t="s">
        <v>478</v>
      </c>
      <c r="B182" s="3" t="n">
        <v>44953</v>
      </c>
      <c r="C182" s="3" t="n">
        <v>44955</v>
      </c>
      <c r="D182" s="2" t="s">
        <v>479</v>
      </c>
      <c r="E182" s="2" t="s">
        <v>99</v>
      </c>
      <c r="F182" s="2" t="s">
        <v>53</v>
      </c>
      <c r="G182" s="2" t="s">
        <v>117</v>
      </c>
      <c r="H182" s="2" t="s">
        <v>62</v>
      </c>
      <c r="I182" s="2" t="s">
        <v>216</v>
      </c>
      <c r="J182" s="2" t="s">
        <v>76</v>
      </c>
      <c r="K182" s="2" t="s">
        <v>28</v>
      </c>
      <c r="L182" s="2" t="s">
        <v>39</v>
      </c>
      <c r="M182" s="2" t="s">
        <v>137</v>
      </c>
      <c r="N182" s="2" t="n">
        <v>91</v>
      </c>
      <c r="O182" s="4" t="n">
        <v>1387.78</v>
      </c>
      <c r="P182" s="5" t="n">
        <v>0.15</v>
      </c>
      <c r="Q182" s="4" t="n">
        <f aca="false">N182*O182*(1-P182)</f>
        <v>107344.783</v>
      </c>
      <c r="R182" s="4" t="n">
        <f aca="false">Q182*0.6347</f>
        <v>68131.7337701</v>
      </c>
      <c r="S182" s="4" t="n">
        <f aca="false">Q182-R182</f>
        <v>39213.0492299</v>
      </c>
      <c r="T182" s="2" t="n">
        <v>1</v>
      </c>
    </row>
    <row r="183" customFormat="false" ht="15" hidden="false" customHeight="false" outlineLevel="0" collapsed="false">
      <c r="A183" s="6" t="s">
        <v>480</v>
      </c>
      <c r="B183" s="7" t="n">
        <v>45460</v>
      </c>
      <c r="C183" s="7" t="n">
        <v>45463</v>
      </c>
      <c r="D183" s="6" t="s">
        <v>481</v>
      </c>
      <c r="E183" s="6" t="s">
        <v>33</v>
      </c>
      <c r="F183" s="6" t="s">
        <v>60</v>
      </c>
      <c r="G183" s="6" t="s">
        <v>67</v>
      </c>
      <c r="H183" s="6" t="s">
        <v>45</v>
      </c>
      <c r="I183" s="6" t="s">
        <v>157</v>
      </c>
      <c r="J183" s="6" t="s">
        <v>38</v>
      </c>
      <c r="K183" s="6" t="s">
        <v>84</v>
      </c>
      <c r="L183" s="6" t="s">
        <v>77</v>
      </c>
      <c r="M183" s="6" t="s">
        <v>30</v>
      </c>
      <c r="N183" s="6" t="n">
        <v>176</v>
      </c>
      <c r="O183" s="8" t="n">
        <v>954.93</v>
      </c>
      <c r="P183" s="9" t="n">
        <v>0</v>
      </c>
      <c r="Q183" s="8" t="n">
        <f aca="false">N183*O183*(1-P183)</f>
        <v>168067.68</v>
      </c>
      <c r="R183" s="8" t="n">
        <f aca="false">Q183*0.6305</f>
        <v>105966.67224</v>
      </c>
      <c r="S183" s="8" t="n">
        <f aca="false">Q183-R183</f>
        <v>62101.00776</v>
      </c>
      <c r="T183" s="6"/>
    </row>
    <row r="184" customFormat="false" ht="15" hidden="false" customHeight="false" outlineLevel="0" collapsed="false">
      <c r="A184" s="2" t="s">
        <v>482</v>
      </c>
      <c r="B184" s="3" t="n">
        <v>45422</v>
      </c>
      <c r="C184" s="3" t="n">
        <v>45435</v>
      </c>
      <c r="D184" s="2" t="s">
        <v>483</v>
      </c>
      <c r="E184" s="2" t="s">
        <v>42</v>
      </c>
      <c r="F184" s="2" t="s">
        <v>53</v>
      </c>
      <c r="G184" s="2" t="s">
        <v>252</v>
      </c>
      <c r="H184" s="2" t="s">
        <v>82</v>
      </c>
      <c r="I184" s="2" t="s">
        <v>186</v>
      </c>
      <c r="J184" s="2" t="s">
        <v>27</v>
      </c>
      <c r="K184" s="2" t="s">
        <v>28</v>
      </c>
      <c r="L184" s="2" t="s">
        <v>39</v>
      </c>
      <c r="M184" s="2" t="s">
        <v>49</v>
      </c>
      <c r="N184" s="2" t="n">
        <v>20</v>
      </c>
      <c r="O184" s="4" t="n">
        <v>906.01</v>
      </c>
      <c r="P184" s="5" t="n">
        <v>0.05</v>
      </c>
      <c r="Q184" s="4" t="n">
        <f aca="false">N184*O184*(1-P184)</f>
        <v>17214.19</v>
      </c>
      <c r="R184" s="4" t="n">
        <f aca="false">Q184*0.6781</f>
        <v>11672.942239</v>
      </c>
      <c r="S184" s="4" t="n">
        <f aca="false">Q184-R184</f>
        <v>5541.247761</v>
      </c>
      <c r="T184" s="2" t="n">
        <v>3.4</v>
      </c>
    </row>
    <row r="185" customFormat="false" ht="15" hidden="false" customHeight="false" outlineLevel="0" collapsed="false">
      <c r="A185" s="6" t="s">
        <v>484</v>
      </c>
      <c r="B185" s="7" t="n">
        <v>45316</v>
      </c>
      <c r="C185" s="6"/>
      <c r="D185" s="6" t="s">
        <v>485</v>
      </c>
      <c r="E185" s="6" t="s">
        <v>124</v>
      </c>
      <c r="F185" s="6" t="s">
        <v>43</v>
      </c>
      <c r="G185" s="6" t="s">
        <v>125</v>
      </c>
      <c r="H185" s="6" t="s">
        <v>109</v>
      </c>
      <c r="I185" s="6" t="s">
        <v>172</v>
      </c>
      <c r="J185" s="6" t="s">
        <v>47</v>
      </c>
      <c r="K185" s="6" t="s">
        <v>101</v>
      </c>
      <c r="L185" s="6" t="s">
        <v>48</v>
      </c>
      <c r="M185" s="6" t="s">
        <v>30</v>
      </c>
      <c r="N185" s="6" t="n">
        <v>85</v>
      </c>
      <c r="O185" s="8" t="n">
        <v>1103.36</v>
      </c>
      <c r="P185" s="9" t="n">
        <v>0.2</v>
      </c>
      <c r="Q185" s="8" t="n">
        <f aca="false">N185*O185*(1-P185)</f>
        <v>75028.48</v>
      </c>
      <c r="R185" s="8" t="n">
        <f aca="false">Q185*0.6575</f>
        <v>49331.2256</v>
      </c>
      <c r="S185" s="8" t="n">
        <f aca="false">Q185-R185</f>
        <v>25697.2544</v>
      </c>
      <c r="T185" s="6"/>
    </row>
    <row r="186" customFormat="false" ht="15" hidden="false" customHeight="false" outlineLevel="0" collapsed="false">
      <c r="A186" s="2" t="s">
        <v>486</v>
      </c>
      <c r="B186" s="3" t="n">
        <v>45225</v>
      </c>
      <c r="C186" s="3" t="n">
        <v>45237</v>
      </c>
      <c r="D186" s="2" t="s">
        <v>487</v>
      </c>
      <c r="E186" s="2" t="s">
        <v>95</v>
      </c>
      <c r="F186" s="2" t="s">
        <v>53</v>
      </c>
      <c r="G186" s="2" t="s">
        <v>252</v>
      </c>
      <c r="H186" s="2" t="s">
        <v>36</v>
      </c>
      <c r="I186" s="2" t="s">
        <v>37</v>
      </c>
      <c r="J186" s="2" t="s">
        <v>70</v>
      </c>
      <c r="K186" s="2" t="s">
        <v>28</v>
      </c>
      <c r="L186" s="2" t="s">
        <v>39</v>
      </c>
      <c r="M186" s="2" t="s">
        <v>49</v>
      </c>
      <c r="N186" s="2" t="n">
        <v>178</v>
      </c>
      <c r="O186" s="4" t="n">
        <v>1584.09</v>
      </c>
      <c r="P186" s="5" t="n">
        <v>0.05</v>
      </c>
      <c r="Q186" s="4" t="n">
        <f aca="false">N186*O186*(1-P186)</f>
        <v>267869.619</v>
      </c>
      <c r="R186" s="4" t="n">
        <f aca="false">Q186*0.5805</f>
        <v>155498.3138295</v>
      </c>
      <c r="S186" s="4" t="n">
        <f aca="false">Q186-R186</f>
        <v>112371.3051705</v>
      </c>
      <c r="T186" s="2" t="n">
        <v>2.5</v>
      </c>
    </row>
    <row r="187" customFormat="false" ht="15" hidden="false" customHeight="false" outlineLevel="0" collapsed="false">
      <c r="A187" s="6" t="s">
        <v>488</v>
      </c>
      <c r="B187" s="7" t="n">
        <v>44954</v>
      </c>
      <c r="C187" s="6"/>
      <c r="D187" s="6" t="s">
        <v>489</v>
      </c>
      <c r="E187" s="6" t="s">
        <v>22</v>
      </c>
      <c r="F187" s="6" t="s">
        <v>60</v>
      </c>
      <c r="G187" s="6" t="s">
        <v>61</v>
      </c>
      <c r="H187" s="6" t="s">
        <v>109</v>
      </c>
      <c r="I187" s="6" t="s">
        <v>121</v>
      </c>
      <c r="J187" s="6" t="s">
        <v>38</v>
      </c>
      <c r="K187" s="6" t="s">
        <v>101</v>
      </c>
      <c r="L187" s="6" t="s">
        <v>77</v>
      </c>
      <c r="M187" s="6" t="s">
        <v>30</v>
      </c>
      <c r="N187" s="6" t="n">
        <v>187</v>
      </c>
      <c r="O187" s="8" t="n">
        <v>1156.75</v>
      </c>
      <c r="P187" s="9" t="n">
        <v>0.05</v>
      </c>
      <c r="Q187" s="8" t="n">
        <f aca="false">N187*O187*(1-P187)</f>
        <v>205496.6375</v>
      </c>
      <c r="R187" s="8" t="n">
        <f aca="false">Q187*0.5667</f>
        <v>116454.94447125</v>
      </c>
      <c r="S187" s="8" t="n">
        <f aca="false">Q187-R187</f>
        <v>89041.69302875</v>
      </c>
      <c r="T187" s="6"/>
    </row>
    <row r="188" customFormat="false" ht="15" hidden="false" customHeight="false" outlineLevel="0" collapsed="false">
      <c r="A188" s="2" t="s">
        <v>490</v>
      </c>
      <c r="B188" s="3" t="n">
        <v>45185</v>
      </c>
      <c r="C188" s="3" t="n">
        <v>45196</v>
      </c>
      <c r="D188" s="2" t="s">
        <v>491</v>
      </c>
      <c r="E188" s="2" t="s">
        <v>87</v>
      </c>
      <c r="F188" s="2" t="s">
        <v>53</v>
      </c>
      <c r="G188" s="2" t="s">
        <v>117</v>
      </c>
      <c r="H188" s="2" t="s">
        <v>45</v>
      </c>
      <c r="I188" s="2" t="s">
        <v>414</v>
      </c>
      <c r="J188" s="2" t="s">
        <v>76</v>
      </c>
      <c r="K188" s="2" t="s">
        <v>28</v>
      </c>
      <c r="L188" s="2" t="s">
        <v>48</v>
      </c>
      <c r="M188" s="2" t="s">
        <v>56</v>
      </c>
      <c r="N188" s="2" t="n">
        <v>40</v>
      </c>
      <c r="O188" s="4" t="n">
        <v>1789.51</v>
      </c>
      <c r="P188" s="5" t="n">
        <v>0.2</v>
      </c>
      <c r="Q188" s="4" t="n">
        <f aca="false">N188*O188*(1-P188)</f>
        <v>57264.32</v>
      </c>
      <c r="R188" s="4" t="n">
        <f aca="false">Q188*0.5658</f>
        <v>32400.152256</v>
      </c>
      <c r="S188" s="4" t="n">
        <f aca="false">Q188-R188</f>
        <v>24864.167744</v>
      </c>
      <c r="T188" s="2" t="n">
        <v>2.8</v>
      </c>
    </row>
    <row r="189" customFormat="false" ht="15" hidden="false" customHeight="false" outlineLevel="0" collapsed="false">
      <c r="A189" s="6" t="s">
        <v>492</v>
      </c>
      <c r="B189" s="7" t="n">
        <v>44964</v>
      </c>
      <c r="C189" s="7" t="n">
        <v>44977</v>
      </c>
      <c r="D189" s="6" t="s">
        <v>493</v>
      </c>
      <c r="E189" s="6" t="s">
        <v>91</v>
      </c>
      <c r="F189" s="6" t="s">
        <v>34</v>
      </c>
      <c r="G189" s="6" t="s">
        <v>128</v>
      </c>
      <c r="H189" s="6" t="s">
        <v>36</v>
      </c>
      <c r="I189" s="6" t="s">
        <v>245</v>
      </c>
      <c r="J189" s="6" t="s">
        <v>38</v>
      </c>
      <c r="K189" s="6" t="s">
        <v>84</v>
      </c>
      <c r="L189" s="6" t="s">
        <v>39</v>
      </c>
      <c r="M189" s="6" t="s">
        <v>30</v>
      </c>
      <c r="N189" s="6" t="n">
        <v>93</v>
      </c>
      <c r="O189" s="8" t="n">
        <v>1755.58</v>
      </c>
      <c r="P189" s="9" t="n">
        <v>0</v>
      </c>
      <c r="Q189" s="8" t="n">
        <f aca="false">N189*O189*(1-P189)</f>
        <v>163268.94</v>
      </c>
      <c r="R189" s="8" t="n">
        <f aca="false">Q189*0.7342</f>
        <v>119872.055748</v>
      </c>
      <c r="S189" s="8" t="n">
        <f aca="false">Q189-R189</f>
        <v>43396.884252</v>
      </c>
      <c r="T189" s="6"/>
    </row>
    <row r="190" customFormat="false" ht="15" hidden="false" customHeight="false" outlineLevel="0" collapsed="false">
      <c r="A190" s="14" t="s">
        <v>494</v>
      </c>
      <c r="B190" s="15" t="n">
        <v>45367</v>
      </c>
      <c r="C190" s="14"/>
      <c r="D190" s="14" t="s">
        <v>495</v>
      </c>
      <c r="E190" s="14" t="s">
        <v>272</v>
      </c>
      <c r="F190" s="14" t="s">
        <v>43</v>
      </c>
      <c r="G190" s="14" t="s">
        <v>104</v>
      </c>
      <c r="H190" s="14" t="s">
        <v>62</v>
      </c>
      <c r="I190" s="14" t="s">
        <v>132</v>
      </c>
      <c r="J190" s="14" t="s">
        <v>38</v>
      </c>
      <c r="K190" s="14" t="s">
        <v>101</v>
      </c>
      <c r="L190" s="14" t="s">
        <v>39</v>
      </c>
      <c r="M190" s="14" t="s">
        <v>49</v>
      </c>
      <c r="N190" s="14" t="n">
        <v>28</v>
      </c>
      <c r="O190" s="16" t="n">
        <v>31.32</v>
      </c>
      <c r="P190" s="17" t="n">
        <v>0.1</v>
      </c>
      <c r="Q190" s="16" t="n">
        <f aca="false">N190*O190*(1-P190)</f>
        <v>789.264</v>
      </c>
      <c r="R190" s="16" t="n">
        <f aca="false">Q190*0.7449</f>
        <v>587.9227536</v>
      </c>
      <c r="S190" s="16" t="n">
        <f aca="false">Q190-R190</f>
        <v>201.3412464</v>
      </c>
      <c r="T190" s="14"/>
    </row>
    <row r="191" customFormat="false" ht="15" hidden="false" customHeight="false" outlineLevel="0" collapsed="false">
      <c r="A191" s="6" t="s">
        <v>496</v>
      </c>
      <c r="B191" s="7" t="n">
        <v>44952</v>
      </c>
      <c r="C191" s="7" t="n">
        <v>44960</v>
      </c>
      <c r="D191" s="6" t="s">
        <v>497</v>
      </c>
      <c r="E191" s="6" t="s">
        <v>73</v>
      </c>
      <c r="F191" s="6" t="s">
        <v>34</v>
      </c>
      <c r="G191" s="6" t="s">
        <v>164</v>
      </c>
      <c r="H191" s="6" t="s">
        <v>82</v>
      </c>
      <c r="I191" s="6" t="s">
        <v>105</v>
      </c>
      <c r="J191" s="6" t="s">
        <v>76</v>
      </c>
      <c r="K191" s="6" t="s">
        <v>55</v>
      </c>
      <c r="L191" s="6" t="s">
        <v>77</v>
      </c>
      <c r="M191" s="6" t="s">
        <v>49</v>
      </c>
      <c r="N191" s="6" t="n">
        <v>27</v>
      </c>
      <c r="O191" s="8" t="n">
        <v>742.1</v>
      </c>
      <c r="P191" s="9" t="n">
        <v>0</v>
      </c>
      <c r="Q191" s="8" t="n">
        <f aca="false">N191*O191*(1-P191)</f>
        <v>20036.7</v>
      </c>
      <c r="R191" s="8" t="n">
        <f aca="false">Q191*0.5811</f>
        <v>11643.32637</v>
      </c>
      <c r="S191" s="8" t="n">
        <f aca="false">Q191-R191</f>
        <v>8393.37363</v>
      </c>
      <c r="T191" s="6"/>
    </row>
    <row r="192" customFormat="false" ht="15" hidden="false" customHeight="false" outlineLevel="0" collapsed="false">
      <c r="A192" s="2" t="s">
        <v>498</v>
      </c>
      <c r="B192" s="3" t="n">
        <v>45026</v>
      </c>
      <c r="C192" s="3" t="n">
        <v>45034</v>
      </c>
      <c r="D192" s="2" t="s">
        <v>499</v>
      </c>
      <c r="E192" s="2" t="s">
        <v>95</v>
      </c>
      <c r="F192" s="2" t="s">
        <v>43</v>
      </c>
      <c r="G192" s="2" t="s">
        <v>104</v>
      </c>
      <c r="H192" s="2" t="s">
        <v>68</v>
      </c>
      <c r="I192" s="2" t="s">
        <v>151</v>
      </c>
      <c r="J192" s="2" t="s">
        <v>27</v>
      </c>
      <c r="K192" s="2" t="s">
        <v>28</v>
      </c>
      <c r="L192" s="2" t="s">
        <v>48</v>
      </c>
      <c r="M192" s="2" t="s">
        <v>114</v>
      </c>
      <c r="N192" s="2" t="n">
        <v>185</v>
      </c>
      <c r="O192" s="4" t="n">
        <v>1743.42</v>
      </c>
      <c r="P192" s="5" t="n">
        <v>0.15</v>
      </c>
      <c r="Q192" s="4" t="n">
        <f aca="false">N192*O192*(1-P192)</f>
        <v>274152.795</v>
      </c>
      <c r="R192" s="4" t="n">
        <f aca="false">Q192*0.6154</f>
        <v>168713.630043</v>
      </c>
      <c r="S192" s="4" t="n">
        <f aca="false">Q192-R192</f>
        <v>105439.164957</v>
      </c>
      <c r="T192" s="2" t="n">
        <v>2.2</v>
      </c>
    </row>
    <row r="193" customFormat="false" ht="15" hidden="false" customHeight="false" outlineLevel="0" collapsed="false">
      <c r="A193" s="6" t="s">
        <v>500</v>
      </c>
      <c r="B193" s="7" t="n">
        <v>45455</v>
      </c>
      <c r="C193" s="6"/>
      <c r="D193" s="6" t="s">
        <v>501</v>
      </c>
      <c r="E193" s="6" t="s">
        <v>87</v>
      </c>
      <c r="F193" s="6" t="s">
        <v>23</v>
      </c>
      <c r="G193" s="6" t="s">
        <v>24</v>
      </c>
      <c r="H193" s="6" t="s">
        <v>45</v>
      </c>
      <c r="I193" s="6" t="s">
        <v>46</v>
      </c>
      <c r="J193" s="6" t="s">
        <v>47</v>
      </c>
      <c r="K193" s="6" t="s">
        <v>64</v>
      </c>
      <c r="L193" s="6" t="s">
        <v>77</v>
      </c>
      <c r="M193" s="6" t="s">
        <v>56</v>
      </c>
      <c r="N193" s="6" t="n">
        <v>45</v>
      </c>
      <c r="O193" s="8" t="n">
        <v>1382.02</v>
      </c>
      <c r="P193" s="9" t="n">
        <v>0.15</v>
      </c>
      <c r="Q193" s="8" t="n">
        <f aca="false">N193*O193*(1-P193)</f>
        <v>52862.265</v>
      </c>
      <c r="R193" s="8" t="n">
        <f aca="false">Q193*0.6673</f>
        <v>35274.9894345</v>
      </c>
      <c r="S193" s="8" t="n">
        <f aca="false">Q193-R193</f>
        <v>17587.2755655</v>
      </c>
      <c r="T193" s="6"/>
    </row>
    <row r="194" customFormat="false" ht="15" hidden="false" customHeight="false" outlineLevel="0" collapsed="false">
      <c r="A194" s="2" t="s">
        <v>502</v>
      </c>
      <c r="B194" s="3" t="n">
        <v>44956</v>
      </c>
      <c r="C194" s="3" t="n">
        <v>44968</v>
      </c>
      <c r="D194" s="2" t="s">
        <v>503</v>
      </c>
      <c r="E194" s="2" t="s">
        <v>87</v>
      </c>
      <c r="F194" s="2" t="s">
        <v>60</v>
      </c>
      <c r="G194" s="2" t="s">
        <v>113</v>
      </c>
      <c r="H194" s="2" t="s">
        <v>45</v>
      </c>
      <c r="I194" s="2" t="s">
        <v>414</v>
      </c>
      <c r="J194" s="2" t="s">
        <v>27</v>
      </c>
      <c r="K194" s="2" t="s">
        <v>28</v>
      </c>
      <c r="L194" s="2" t="s">
        <v>39</v>
      </c>
      <c r="M194" s="2" t="s">
        <v>114</v>
      </c>
      <c r="N194" s="2" t="n">
        <v>158</v>
      </c>
      <c r="O194" s="4" t="n">
        <v>2208.33</v>
      </c>
      <c r="P194" s="5" t="n">
        <v>0.25</v>
      </c>
      <c r="Q194" s="4" t="n">
        <f aca="false">N194*O194*(1-P194)</f>
        <v>261687.105</v>
      </c>
      <c r="R194" s="4" t="n">
        <f aca="false">Q194*0.7026</f>
        <v>183861.359973</v>
      </c>
      <c r="S194" s="4" t="n">
        <f aca="false">Q194-R194</f>
        <v>77825.745027</v>
      </c>
      <c r="T194" s="2" t="n">
        <v>2.6</v>
      </c>
    </row>
    <row r="195" customFormat="false" ht="15" hidden="false" customHeight="false" outlineLevel="0" collapsed="false">
      <c r="A195" s="6" t="s">
        <v>504</v>
      </c>
      <c r="B195" s="7" t="n">
        <v>45260</v>
      </c>
      <c r="C195" s="7" t="n">
        <v>45264</v>
      </c>
      <c r="D195" s="6" t="s">
        <v>505</v>
      </c>
      <c r="E195" s="6" t="s">
        <v>52</v>
      </c>
      <c r="F195" s="6" t="s">
        <v>43</v>
      </c>
      <c r="G195" s="6" t="s">
        <v>44</v>
      </c>
      <c r="H195" s="6" t="s">
        <v>68</v>
      </c>
      <c r="I195" s="6" t="s">
        <v>141</v>
      </c>
      <c r="J195" s="6" t="s">
        <v>47</v>
      </c>
      <c r="K195" s="6" t="s">
        <v>55</v>
      </c>
      <c r="L195" s="6" t="s">
        <v>77</v>
      </c>
      <c r="M195" s="6" t="s">
        <v>49</v>
      </c>
      <c r="N195" s="6" t="n">
        <v>118</v>
      </c>
      <c r="O195" s="8" t="n">
        <v>289.32</v>
      </c>
      <c r="P195" s="9" t="n">
        <v>0.25</v>
      </c>
      <c r="Q195" s="8" t="n">
        <f aca="false">N195*O195*(1-P195)</f>
        <v>25604.82</v>
      </c>
      <c r="R195" s="8" t="n">
        <f aca="false">Q195*0.68</f>
        <v>17411.2776</v>
      </c>
      <c r="S195" s="8" t="n">
        <f aca="false">Q195-R195</f>
        <v>8193.5424</v>
      </c>
      <c r="T195" s="6"/>
    </row>
    <row r="196" customFormat="false" ht="15" hidden="false" customHeight="false" outlineLevel="0" collapsed="false">
      <c r="A196" s="2" t="s">
        <v>506</v>
      </c>
      <c r="B196" s="3" t="n">
        <v>45559</v>
      </c>
      <c r="C196" s="3" t="n">
        <v>45562</v>
      </c>
      <c r="D196" s="2" t="s">
        <v>507</v>
      </c>
      <c r="E196" s="2" t="s">
        <v>73</v>
      </c>
      <c r="F196" s="2" t="s">
        <v>53</v>
      </c>
      <c r="G196" s="2" t="s">
        <v>54</v>
      </c>
      <c r="H196" s="2" t="s">
        <v>82</v>
      </c>
      <c r="I196" s="2" t="s">
        <v>169</v>
      </c>
      <c r="J196" s="2" t="s">
        <v>38</v>
      </c>
      <c r="K196" s="2" t="s">
        <v>28</v>
      </c>
      <c r="L196" s="2" t="s">
        <v>48</v>
      </c>
      <c r="M196" s="2" t="s">
        <v>114</v>
      </c>
      <c r="N196" s="2" t="n">
        <v>173</v>
      </c>
      <c r="O196" s="4" t="n">
        <v>1766.44</v>
      </c>
      <c r="P196" s="5" t="n">
        <v>0.1</v>
      </c>
      <c r="Q196" s="4" t="n">
        <f aca="false">N196*O196*(1-P196)</f>
        <v>275034.708</v>
      </c>
      <c r="R196" s="4" t="n">
        <f aca="false">Q196*0.6786</f>
        <v>186638.5528488</v>
      </c>
      <c r="S196" s="4" t="n">
        <f aca="false">Q196-R196</f>
        <v>88396.1551512</v>
      </c>
      <c r="T196" s="2" t="n">
        <v>3.7</v>
      </c>
    </row>
    <row r="197" customFormat="false" ht="15" hidden="false" customHeight="false" outlineLevel="0" collapsed="false">
      <c r="A197" s="6" t="s">
        <v>508</v>
      </c>
      <c r="B197" s="7" t="n">
        <v>45324</v>
      </c>
      <c r="C197" s="7" t="n">
        <v>45331</v>
      </c>
      <c r="D197" s="6" t="s">
        <v>509</v>
      </c>
      <c r="E197" s="6" t="s">
        <v>42</v>
      </c>
      <c r="F197" s="6" t="s">
        <v>53</v>
      </c>
      <c r="G197" s="6" t="s">
        <v>117</v>
      </c>
      <c r="H197" s="6" t="s">
        <v>62</v>
      </c>
      <c r="I197" s="6" t="s">
        <v>63</v>
      </c>
      <c r="J197" s="6" t="s">
        <v>27</v>
      </c>
      <c r="K197" s="6" t="s">
        <v>28</v>
      </c>
      <c r="L197" s="6" t="s">
        <v>77</v>
      </c>
      <c r="M197" s="6" t="s">
        <v>30</v>
      </c>
      <c r="N197" s="6" t="n">
        <v>153</v>
      </c>
      <c r="O197" s="8" t="n">
        <v>348.98</v>
      </c>
      <c r="P197" s="9" t="n">
        <v>0.2</v>
      </c>
      <c r="Q197" s="8" t="n">
        <f aca="false">N197*O197*(1-P197)</f>
        <v>42715.152</v>
      </c>
      <c r="R197" s="8" t="n">
        <f aca="false">Q197*0.612</f>
        <v>26141.673024</v>
      </c>
      <c r="S197" s="8" t="n">
        <f aca="false">Q197-R197</f>
        <v>16573.478976</v>
      </c>
      <c r="T197" s="6" t="n">
        <v>1.7</v>
      </c>
    </row>
    <row r="198" customFormat="false" ht="15" hidden="false" customHeight="false" outlineLevel="0" collapsed="false">
      <c r="A198" s="2" t="s">
        <v>510</v>
      </c>
      <c r="B198" s="3" t="n">
        <v>45561</v>
      </c>
      <c r="C198" s="3" t="n">
        <v>45562</v>
      </c>
      <c r="D198" s="2" t="s">
        <v>511</v>
      </c>
      <c r="E198" s="2" t="s">
        <v>95</v>
      </c>
      <c r="F198" s="2" t="s">
        <v>34</v>
      </c>
      <c r="G198" s="2" t="s">
        <v>164</v>
      </c>
      <c r="H198" s="2" t="s">
        <v>36</v>
      </c>
      <c r="I198" s="2" t="s">
        <v>37</v>
      </c>
      <c r="J198" s="2" t="s">
        <v>70</v>
      </c>
      <c r="K198" s="2" t="s">
        <v>28</v>
      </c>
      <c r="L198" s="2" t="s">
        <v>48</v>
      </c>
      <c r="M198" s="2" t="s">
        <v>114</v>
      </c>
      <c r="N198" s="2" t="n">
        <v>92</v>
      </c>
      <c r="O198" s="4" t="n">
        <v>2379.85</v>
      </c>
      <c r="P198" s="5" t="n">
        <v>0.25</v>
      </c>
      <c r="Q198" s="4" t="n">
        <f aca="false">N198*O198*(1-P198)</f>
        <v>164209.65</v>
      </c>
      <c r="R198" s="4" t="n">
        <f aca="false">Q198*0.6375</f>
        <v>104683.651875</v>
      </c>
      <c r="S198" s="4" t="n">
        <f aca="false">Q198-R198</f>
        <v>59525.998125</v>
      </c>
      <c r="T198" s="2" t="n">
        <v>1.8</v>
      </c>
    </row>
    <row r="199" customFormat="false" ht="15" hidden="false" customHeight="false" outlineLevel="0" collapsed="false">
      <c r="A199" s="6" t="s">
        <v>512</v>
      </c>
      <c r="B199" s="7" t="n">
        <v>44958</v>
      </c>
      <c r="C199" s="7" t="n">
        <v>44971</v>
      </c>
      <c r="D199" s="6" t="s">
        <v>513</v>
      </c>
      <c r="E199" s="6" t="s">
        <v>73</v>
      </c>
      <c r="F199" s="6" t="s">
        <v>60</v>
      </c>
      <c r="G199" s="6" t="s">
        <v>67</v>
      </c>
      <c r="H199" s="6" t="s">
        <v>82</v>
      </c>
      <c r="I199" s="6" t="s">
        <v>234</v>
      </c>
      <c r="J199" s="6" t="s">
        <v>76</v>
      </c>
      <c r="K199" s="6" t="s">
        <v>28</v>
      </c>
      <c r="L199" s="6" t="s">
        <v>29</v>
      </c>
      <c r="M199" s="6" t="s">
        <v>30</v>
      </c>
      <c r="N199" s="6" t="n">
        <v>195</v>
      </c>
      <c r="O199" s="8" t="n">
        <v>555.22</v>
      </c>
      <c r="P199" s="9" t="n">
        <v>0</v>
      </c>
      <c r="Q199" s="8" t="n">
        <f aca="false">N199*O199*(1-P199)</f>
        <v>108267.9</v>
      </c>
      <c r="R199" s="8" t="n">
        <f aca="false">Q199*0.7407</f>
        <v>80194.03353</v>
      </c>
      <c r="S199" s="8" t="n">
        <f aca="false">Q199-R199</f>
        <v>28073.86647</v>
      </c>
      <c r="T199" s="6" t="n">
        <v>1.9</v>
      </c>
    </row>
    <row r="200" customFormat="false" ht="15" hidden="false" customHeight="false" outlineLevel="0" collapsed="false">
      <c r="A200" s="2" t="s">
        <v>514</v>
      </c>
      <c r="B200" s="3" t="n">
        <v>45043</v>
      </c>
      <c r="C200" s="3" t="n">
        <v>45048</v>
      </c>
      <c r="D200" s="2" t="s">
        <v>515</v>
      </c>
      <c r="E200" s="2" t="s">
        <v>52</v>
      </c>
      <c r="F200" s="2" t="s">
        <v>53</v>
      </c>
      <c r="G200" s="2" t="s">
        <v>135</v>
      </c>
      <c r="H200" s="2" t="s">
        <v>45</v>
      </c>
      <c r="I200" s="2" t="s">
        <v>414</v>
      </c>
      <c r="J200" s="2" t="s">
        <v>76</v>
      </c>
      <c r="K200" s="2" t="s">
        <v>28</v>
      </c>
      <c r="L200" s="2" t="s">
        <v>29</v>
      </c>
      <c r="M200" s="2" t="s">
        <v>30</v>
      </c>
      <c r="N200" s="2" t="n">
        <v>199</v>
      </c>
      <c r="O200" s="4" t="n">
        <v>1360.05</v>
      </c>
      <c r="P200" s="5" t="n">
        <v>0.15</v>
      </c>
      <c r="Q200" s="4" t="n">
        <f aca="false">N200*O200*(1-P200)</f>
        <v>230052.4575</v>
      </c>
      <c r="R200" s="4" t="n">
        <f aca="false">Q200*0.5977</f>
        <v>137502.35384775</v>
      </c>
      <c r="S200" s="4" t="n">
        <f aca="false">Q200-R200</f>
        <v>92550.10365225</v>
      </c>
      <c r="T200" s="2" t="n">
        <v>4.3</v>
      </c>
    </row>
    <row r="201" customFormat="false" ht="15" hidden="false" customHeight="false" outlineLevel="0" collapsed="false">
      <c r="A201" s="6" t="s">
        <v>516</v>
      </c>
      <c r="B201" s="7" t="n">
        <v>44960</v>
      </c>
      <c r="C201" s="7" t="n">
        <v>44968</v>
      </c>
      <c r="D201" s="6" t="s">
        <v>517</v>
      </c>
      <c r="E201" s="6" t="s">
        <v>22</v>
      </c>
      <c r="F201" s="6" t="s">
        <v>23</v>
      </c>
      <c r="G201" s="6" t="s">
        <v>100</v>
      </c>
      <c r="H201" s="6" t="s">
        <v>82</v>
      </c>
      <c r="I201" s="6" t="s">
        <v>169</v>
      </c>
      <c r="J201" s="6" t="s">
        <v>76</v>
      </c>
      <c r="K201" s="6" t="s">
        <v>28</v>
      </c>
      <c r="L201" s="6" t="s">
        <v>77</v>
      </c>
      <c r="M201" s="6" t="s">
        <v>49</v>
      </c>
      <c r="N201" s="6" t="n">
        <v>68</v>
      </c>
      <c r="O201" s="8" t="n">
        <v>874.7</v>
      </c>
      <c r="P201" s="9" t="n">
        <v>0</v>
      </c>
      <c r="Q201" s="8" t="n">
        <f aca="false">N201*O201*(1-P201)</f>
        <v>59479.6</v>
      </c>
      <c r="R201" s="8" t="n">
        <f aca="false">Q201*0.5989</f>
        <v>35622.33244</v>
      </c>
      <c r="S201" s="8" t="n">
        <f aca="false">Q201-R201</f>
        <v>23857.26756</v>
      </c>
      <c r="T201" s="6" t="n">
        <v>4.5</v>
      </c>
    </row>
  </sheetData>
  <autoFilter ref="A1:T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2026-04-29T10:23:56Z</dcterms:created>
  <dc:creator>openpyxl</dc:creator>
  <dc:description/>
  <dc:language>en-US</dc:language>
  <cp:lastModifiedBy/>
  <dcterms:modified xsi:type="dcterms:W3CDTF">2026-04-29T10:23:56Z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